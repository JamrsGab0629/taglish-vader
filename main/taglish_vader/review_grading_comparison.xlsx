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Summary" sheetId="2" state="visible" r:id="rId4"/>
  </sheets>
  <definedNames>
    <definedName function="false" hidden="true" localSheetId="0" name="_xlnm._FilterDatabase" vbProcedure="false">Comparison!$A$1:$H$114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<sst xmlns="http://schemas.openxmlformats.org/spreadsheetml/2006/main" count="398" uniqueCount="166">
  <si>
    <t xml:space="preserve">#</t>
  </si>
  <si>
    <t xml:space="preserve">Original ID</t>
  </si>
  <si>
    <t xml:space="preserve">Review (shortened)</t>
  </si>
  <si>
    <t xml:space="preserve">VADER score</t>
  </si>
  <si>
    <t xml:space="preserve">VADER label</t>
  </si>
  <si>
    <t xml:space="preserve">My grade</t>
  </si>
  <si>
    <t xml:space="preserve">Result</t>
  </si>
  <si>
    <t xml:space="preserve">Why they differ / notes</t>
  </si>
  <si>
    <t xml:space="preserve">It looks soft and comfortable to use. Appearance is quite good, nice to look and stylish</t>
  </si>
  <si>
    <t xml:space="preserve">Good</t>
  </si>
  <si>
    <t xml:space="preserve">super comfortable good 38 to 40 size</t>
  </si>
  <si>
    <t xml:space="preserve">Maganda, makapal, at pwede ipang araw araw na isuot. Will order again. Thank you seller</t>
  </si>
  <si>
    <t xml:space="preserve">Thanks sa mabait na rider and seller</t>
  </si>
  <si>
    <t xml:space="preserve">Ganda ng quality po</t>
  </si>
  <si>
    <t xml:space="preserve">good god Good</t>
  </si>
  <si>
    <t xml:space="preserve">Wrong item naman nakakadisapoint... naging pangtrabaho na ng asawa ko ang haba</t>
  </si>
  <si>
    <t xml:space="preserve">Bad</t>
  </si>
  <si>
    <t xml:space="preserve">Nipis naman ng item</t>
  </si>
  <si>
    <t xml:space="preserve">iba pinadala, hindi naman knee socks</t>
  </si>
  <si>
    <t xml:space="preserve">Neutral</t>
  </si>
  <si>
    <t xml:space="preserve">Wrong item sent; VADER has no lexicon hit for 'iba pinadala' / 'hindi naman' so scored 0</t>
  </si>
  <si>
    <t xml:space="preserve">Hindi un inorder ko malalaki ung dumating</t>
  </si>
  <si>
    <t xml:space="preserve">Wrong item received; negative complaint with no sentiment words</t>
  </si>
  <si>
    <t xml:space="preserve">Thank.you seller</t>
  </si>
  <si>
    <t xml:space="preserve">Mild thanks only</t>
  </si>
  <si>
    <t xml:space="preserve">compostable to wear, cotton soft and breathable... rider is very kind. will order again.</t>
  </si>
  <si>
    <t xml:space="preserve">Thank you! Buti na lang nabibili na lahat sa shopee... Okay naman ang products!</t>
  </si>
  <si>
    <t xml:space="preserve">Received na po. Good quality, complete, correct. Always satisfied. Thank you po</t>
  </si>
  <si>
    <t xml:space="preserve">Maganda ang quality ng items. Medyo hindi nagustuhan ang packaging, madumi ang plastic...</t>
  </si>
  <si>
    <t xml:space="preserve">Mixed but mostly positive; packaging only a minor complaint</t>
  </si>
  <si>
    <t xml:space="preserve">Good products. I was satisfied! It's great and ayos lahat ng items. Thank you seller</t>
  </si>
  <si>
    <t xml:space="preserve">Still smooth transaction, 2nd order, kompleto... will order again.</t>
  </si>
  <si>
    <t xml:space="preserve">Wala po akong masabi ang gaganda po ng shorts... Thank you po sa freebie</t>
  </si>
  <si>
    <t xml:space="preserve">still satisfied from this shop, complete order and color... satisfied ako lage</t>
  </si>
  <si>
    <t xml:space="preserve">Ang ganda ng quality ang bait din ni seller thank you po tama lahat ng dumating</t>
  </si>
  <si>
    <t xml:space="preserve">Complete orders with correct variations. Ganda talaga ng mga shorts nyu... Sobrang nagustuhan ko</t>
  </si>
  <si>
    <t xml:space="preserve">Maganda yung tela and mabilis delivery.</t>
  </si>
  <si>
    <t xml:space="preserve">Thank u so much po! Maayos po at makapal ung tela</t>
  </si>
  <si>
    <t xml:space="preserve">Thank u. Sakto lahat ng dumating at maganda po</t>
  </si>
  <si>
    <t xml:space="preserve">Maganda. Nagustuhan ng anak q kya order aq ulit... Thanks seller, shopee at J&amp;T</t>
  </si>
  <si>
    <t xml:space="preserve">Legiiiit Ang ganda ng mga items. Recommended shop</t>
  </si>
  <si>
    <t xml:space="preserve">hagagvabajjajansjsjsj... very very very nice jjajsnsjs</t>
  </si>
  <si>
    <t xml:space="preserve">Mostly keyboard-mash; only real content is 'very very very nice'</t>
  </si>
  <si>
    <t xml:space="preserve">Maganda maganda, lagi akong oorder sa shop na to... Salamat salamat</t>
  </si>
  <si>
    <t xml:space="preserve">Mabilis nadeliver, maayos ang packaging. Sa susunod ulit na order, ibang kulay naman. Salamat</t>
  </si>
  <si>
    <t xml:space="preserve">Maganda po ang items, maayos ang pagkakapack... mali ang isang short pero mabebenta ko naman</t>
  </si>
  <si>
    <t xml:space="preserve">One wrong item, but overall positive</t>
  </si>
  <si>
    <t xml:space="preserve">17 days bago dumating. .parang overseas.</t>
  </si>
  <si>
    <t xml:space="preserve">Complaint about slow delivery (sarcastic comparison); no sentiment words for VADER</t>
  </si>
  <si>
    <t xml:space="preserve">Cloth is thin Material Not bad</t>
  </si>
  <si>
    <t xml:space="preserve">'Not bad' is a negation; VADER read 'bad' as +1.9. Lukewarm, so Neutral</t>
  </si>
  <si>
    <t xml:space="preserve">mukhang hindi gawa ng hanford</t>
  </si>
  <si>
    <t xml:space="preserve">Says item looks fake / not from the brand; implied negative</t>
  </si>
  <si>
    <t xml:space="preserve">Low quality</t>
  </si>
  <si>
    <t xml:space="preserve">Wrong size</t>
  </si>
  <si>
    <t xml:space="preserve">The seller send me the Wrong size. Instead of Small, they send Large.</t>
  </si>
  <si>
    <t xml:space="preserve">the product works... charging problem, cleaned it and it worked... I like the lights. Product good for its price</t>
  </si>
  <si>
    <t xml:space="preserve">Mixed story, but ends positive</t>
  </si>
  <si>
    <t xml:space="preserve">wrong item received. Ordered M10 I received F9. Poor quality... hassle to request a refund</t>
  </si>
  <si>
    <t xml:space="preserve">hindi nagana Product hindi nagana bad</t>
  </si>
  <si>
    <t xml:space="preserve">Says it doesn't work; VADER's 'bad' +1.9 is a lexicon error and outweighed the negation</t>
  </si>
  <si>
    <t xml:space="preserve">Tapus ung left hnd gumagana walang sounds pero ung right meron seller pano to</t>
  </si>
  <si>
    <t xml:space="preserve">mahina ang sounds and bass ang dali dali ma lowbatt and di na gumana yung nasa left good</t>
  </si>
  <si>
    <t xml:space="preserve">Product sira dumating di gumagana sayang pera 0/10</t>
  </si>
  <si>
    <t xml:space="preserve">Product not good bad item disappointed... Sira ang isang airpad... wag kayo bibili dito</t>
  </si>
  <si>
    <t xml:space="preserve">Kanina pa na charge pero 00 parin. May sira nmn pinadala nio.</t>
  </si>
  <si>
    <t xml:space="preserve">HINDI PO GUMAGANA YUNG RIGHT EARPODS KAHIT NAKA KULAY BLUE NA SYA AYAW PARIN MAG BUKAS</t>
  </si>
  <si>
    <t xml:space="preserve">SIRA YUNG LEFT AYAW MAG OPEN GOOD PERO ISA LANG GUMAGANA 50/100... SAYANG YUNG BAYAD KO</t>
  </si>
  <si>
    <t xml:space="preserve">Not working... 3 weeks hinintay ko tapos pagdating d gumagana... Not recommended. defective items</t>
  </si>
  <si>
    <t xml:space="preserve">Not Good Product Not Good Bad</t>
  </si>
  <si>
    <t xml:space="preserve">Grabe NMAN seller NITO pinadala sa akin sira ung items. Ayaw gumana</t>
  </si>
  <si>
    <t xml:space="preserve">sira ang earpiece ayaw palitan... customer service bulok.. goodluck !</t>
  </si>
  <si>
    <t xml:space="preserve">i noticed some issued with one side not producing sound</t>
  </si>
  <si>
    <t xml:space="preserve">Defect report; polite wording, no lexicon hit</t>
  </si>
  <si>
    <t xml:space="preserve">Not. Good ng di ng charge. Mghapon ko na gi charge wla parn</t>
  </si>
  <si>
    <t xml:space="preserve">Not charging all day; VADER matched 'Good' and ignored the 'Not.' before it</t>
  </si>
  <si>
    <t xml:space="preserve">Parehong left side Yung pinadala Hindi right and left</t>
  </si>
  <si>
    <t xml:space="preserve">Wrong item/defect: both buds are left side</t>
  </si>
  <si>
    <t xml:space="preserve">bilis malowbat</t>
  </si>
  <si>
    <t xml:space="preserve">I have problem to one earpods on the right side, didn't have sound.</t>
  </si>
  <si>
    <t xml:space="preserve">Defect report with no sentiment words</t>
  </si>
  <si>
    <t xml:space="preserve">minsan gumagana ang isa..minsan hindi nothing best Product poor</t>
  </si>
  <si>
    <t xml:space="preserve">SIRAAA TANGINAA SIRAA POTANG INA MI SIRAAAA WAG KAYO BIBILI DITO ANLAYO NG INORDER KO SA DUMATING</t>
  </si>
  <si>
    <t xml:space="preserve">Profanity; VADER only caught the stretched 'SIRAAA' forms</t>
  </si>
  <si>
    <t xml:space="preserve">sira Ang deniliver Di gumagana 0% Ang charging... sayang pera nyo</t>
  </si>
  <si>
    <t xml:space="preserve">Sira naman yung right earphone ...sana bago ninyo i ship chini chek ninyo kung working or not</t>
  </si>
  <si>
    <t xml:space="preserve">Broken item; 'working' (+1.6) cancelled out 'Sira'</t>
  </si>
  <si>
    <t xml:space="preserve">sira ang item na na received ko sad performance Product bad quality... isa lang yung gumagana</t>
  </si>
  <si>
    <t xml:space="preserve">5 mins lang lowbat na</t>
  </si>
  <si>
    <t xml:space="preserve">bulok</t>
  </si>
  <si>
    <t xml:space="preserve">hindi po gumagana</t>
  </si>
  <si>
    <t xml:space="preserve">Defective ports, wont charge the headset</t>
  </si>
  <si>
    <t xml:space="preserve">After 4 days sira na sya agad kakainis</t>
  </si>
  <si>
    <t xml:space="preserve">Di nagana haha</t>
  </si>
  <si>
    <t xml:space="preserve">Sira kaagad yung isa</t>
  </si>
  <si>
    <t xml:space="preserve">ang bilis malowbat</t>
  </si>
  <si>
    <t xml:space="preserve">Badly di gumagana yung kabila wla sound</t>
  </si>
  <si>
    <t xml:space="preserve">right earbuds is not charging properly</t>
  </si>
  <si>
    <t xml:space="preserve">The left bud doesn't work and has no sound</t>
  </si>
  <si>
    <t xml:space="preserve">Maganda Naman pero walang Kasama Yung ear piece nya</t>
  </si>
  <si>
    <t xml:space="preserve">Positive on looks, but missing accessory ('pero walang kasama'); VADER ignored the 'pero' clause</t>
  </si>
  <si>
    <t xml:space="preserve">The sound is louder on the right and weaker on the left. Not easy to charge, doesn't work with any type C charger</t>
  </si>
  <si>
    <t xml:space="preserve">Ok Sana Kaya Lang madaling matanggal sa tainga. Malamang madaling masisira</t>
  </si>
  <si>
    <t xml:space="preserve">'Ok sana kaya lang' = 'would be ok but'; leans negative</t>
  </si>
  <si>
    <t xml:space="preserve">Thank you, hindi lang nagana yung left na earphone.</t>
  </si>
  <si>
    <t xml:space="preserve">Polite 'thank you' but reports a dead earbud</t>
  </si>
  <si>
    <t xml:space="preserve">Er, the left earpod isn't working... Already fully charged, by the way.</t>
  </si>
  <si>
    <t xml:space="preserve">ok nmn bilis lang malowvat</t>
  </si>
  <si>
    <t xml:space="preserve">'ok' but drains fast; VADER scored 'bilis' (+1.8) as positive</t>
  </si>
  <si>
    <t xml:space="preserve">ok sound quality, noise cancelling not that good... NOT RECOMMENDED if you can afford better</t>
  </si>
  <si>
    <t xml:space="preserve">Borderline Neutral, but explicitly 'not recommended'</t>
  </si>
  <si>
    <t xml:space="preserve">Hassle iconnect. Right earpiece not working. Pakahassle.</t>
  </si>
  <si>
    <t xml:space="preserve">Lobat ung dumating ska mabilis lng malobat din</t>
  </si>
  <si>
    <t xml:space="preserve">Good for a cheap price.</t>
  </si>
  <si>
    <t xml:space="preserve">Okay naman,madali nga lang malubat!</t>
  </si>
  <si>
    <t xml:space="preserve">'Okay' but drains fast; same 'madali' / 'bilis' polarity issue</t>
  </si>
  <si>
    <t xml:space="preserve">Hindi gumagana yong isa Earbuds</t>
  </si>
  <si>
    <t xml:space="preserve">Di nagana ung left side..</t>
  </si>
  <si>
    <t xml:space="preserve">Terrible connectivity. nag di-disconnect kahit nasa bahay lang... very disappointed</t>
  </si>
  <si>
    <t xml:space="preserve">Product hindi gumagana ang kbila</t>
  </si>
  <si>
    <t xml:space="preserve">Disappointed fake battery nya</t>
  </si>
  <si>
    <t xml:space="preserve">Deffective item ,,the buds was not charging</t>
  </si>
  <si>
    <t xml:space="preserve">3star lang kasi Sira yong isa</t>
  </si>
  <si>
    <t xml:space="preserve">Biglang nagdidiscomnect yung left side</t>
  </si>
  <si>
    <t xml:space="preserve">Connection defect; misspelled 'nagdidiscomnect' isn't in the lexicon</t>
  </si>
  <si>
    <t xml:space="preserve">Wow ang bilis dumating 3 weeks lang naman. Salamat ha</t>
  </si>
  <si>
    <t xml:space="preserve">Sarcasm; correct only because of the sarcasm flag</t>
  </si>
  <si>
    <t xml:space="preserve">Ang ganda talaga nasira after 1 day. Super quality!</t>
  </si>
  <si>
    <t xml:space="preserve">Sarcasm; barely negative (-0.15)</t>
  </si>
  <si>
    <t xml:space="preserve">ang ganda daw lol</t>
  </si>
  <si>
    <t xml:space="preserve">Sarcasm (daw + lol)</t>
  </si>
  <si>
    <t xml:space="preserve">ang bilis daw mag charge lol</t>
  </si>
  <si>
    <t xml:space="preserve">sana all nalang tamang item yung dumating lol</t>
  </si>
  <si>
    <t xml:space="preserve">Sarcastic complaint about wrong item</t>
  </si>
  <si>
    <t xml:space="preserve">Wow ha ang tibay at ang ganda ng tunog. Sana all may ganito</t>
  </si>
  <si>
    <t xml:space="preserve">very secure in my ears... sobrang ganda talaga ng product... high quality, legit... perfect na perfect</t>
  </si>
  <si>
    <t xml:space="preserve">maganda good Hindi masag yung tunog at malakas, sana matagal mag lowbat Thank you seller</t>
  </si>
  <si>
    <t xml:space="preserve">Praise for sound and seller; 'sana matagal mag lowbat' is a small wish, but 'matagal' and 'lowbat' were both scored negative</t>
  </si>
  <si>
    <t xml:space="preserve">for listening for audio very nice ang bilis lang na deliver at ang ganda ng sounds niya</t>
  </si>
  <si>
    <t xml:space="preserve">sobrang ganda tapos umiilaw... work it naman good good</t>
  </si>
  <si>
    <t xml:space="preserve">affordable very good easy to us Hindi madaling malowbat.</t>
  </si>
  <si>
    <t xml:space="preserve">ang ganda at mura pa love it malakas ang tunog nya komportable</t>
  </si>
  <si>
    <t xml:space="preserve">Good Good Love it! ... akala ko hindi gumagana ang left... nagkamali ako. I HIGHLY RECOMMEND</t>
  </si>
  <si>
    <t xml:space="preserve">earbuds are lightweight and fits in my ear there is surround effect that makes it so good</t>
  </si>
  <si>
    <t xml:space="preserve">very comfort very good Ang ganda... tagal ma lobat. sulit sa presyo. will buy again</t>
  </si>
  <si>
    <t xml:space="preserve">good excellent amazing Sobrang liit at lightweight! ... Good for its price. Clear audio</t>
  </si>
  <si>
    <t xml:space="preserve">lightweight and fit comfortably... sound quality good for the price... highly recommended!</t>
  </si>
  <si>
    <t xml:space="preserve">solid malakas Ang volume... clear at maganda... matagal dn ma lowbat... di nahuhulog</t>
  </si>
  <si>
    <t xml:space="preserve">good Product good good Maganda to... matagal din ma lowbat... thanks</t>
  </si>
  <si>
    <t xml:space="preserve">Product 10 10 10 Maganda sounds nea at good quality thank u seller</t>
  </si>
  <si>
    <t xml:space="preserve">kung ano ang nakikita sa picture ay iyong ang appearance niya.. malakas ang sound maganda</t>
  </si>
  <si>
    <t xml:space="preserve">Product 10/10 legit must buy very affordable what you see is what you get</t>
  </si>
  <si>
    <t xml:space="preserve">Nice Product Nice Nice Super ganda ng item hindi kayo magsisisi</t>
  </si>
  <si>
    <t xml:space="preserve">VADER vs. manual grading</t>
  </si>
  <si>
    <t xml:space="preserve">Total reviews</t>
  </si>
  <si>
    <t xml:space="preserve">Matches</t>
  </si>
  <si>
    <t xml:space="preserve">Mismatches</t>
  </si>
  <si>
    <t xml:space="preserve">Agreement rate</t>
  </si>
  <si>
    <t xml:space="preserve">Confusion matrix (rows = my grade, columns = VADER label)</t>
  </si>
  <si>
    <t xml:space="preserve">My grade \ VADER</t>
  </si>
  <si>
    <t xml:space="preserve">Total</t>
  </si>
  <si>
    <t xml:space="preserve">VADER Neutral that I graded Bad</t>
  </si>
  <si>
    <t xml:space="preserve">VADER Good that I graded Bad</t>
  </si>
  <si>
    <t xml:space="preserve">VADER Good that I graded Neutral</t>
  </si>
  <si>
    <t xml:space="preserve">VADER Bad that I graded Good</t>
  </si>
  <si>
    <t xml:space="preserve">Notes: 'My grade' is my own reading of each review, not ground truth. Review text is shortened for readability; scores and labels are from your VADER output. Rows 1, 2, 3, 4 had no score in the data.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</si>
</sst>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62"/>
    <col collapsed="false" customWidth="true" hidden="false" outlineLevel="0" max="5" min="4" style="0" width="12"/>
    <col collapsed="false" customWidth="true" hidden="false" outlineLevel="0" max="7" min="6" style="0" width="11"/>
    <col collapsed="false" customWidth="true" hidden="false" outlineLevel="0" max="8" min="8" style="0" width="6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n">
        <v>1</v>
      </c>
      <c r="B2" s="2" t="n">
        <v>1</v>
      </c>
      <c r="C2" s="3" t="s">
        <v>8</v>
      </c>
      <c r="D2" s="4"/>
      <c r="E2" s="2" t="s">
        <v>9</v>
      </c>
      <c r="F2" s="2" t="s">
        <v>9</v>
      </c>
      <c r="G2" s="2" t="str">
        <f aca="false">IF(E2=F2,"Match","Mismatch")</f>
        <v>Match</v>
      </c>
      <c r="H2" s="3"/>
    </row>
    <row r="3" customFormat="false" ht="15" hidden="false" customHeight="false" outlineLevel="0" collapsed="false">
      <c r="A3" s="2" t="n">
        <v>2</v>
      </c>
      <c r="B3" s="2" t="n">
        <v>2201</v>
      </c>
      <c r="C3" s="3" t="s">
        <v>10</v>
      </c>
      <c r="D3" s="4"/>
      <c r="E3" s="2" t="s">
        <v>9</v>
      </c>
      <c r="F3" s="2" t="s">
        <v>9</v>
      </c>
      <c r="G3" s="2" t="str">
        <f aca="false">IF(E3=F3,"Match","Mismatch")</f>
        <v>Match</v>
      </c>
      <c r="H3" s="3"/>
    </row>
    <row r="4" customFormat="false" ht="23.85" hidden="false" customHeight="false" outlineLevel="0" collapsed="false">
      <c r="A4" s="2" t="n">
        <v>3</v>
      </c>
      <c r="B4" s="2" t="n">
        <v>2202</v>
      </c>
      <c r="C4" s="3" t="s">
        <v>11</v>
      </c>
      <c r="D4" s="4"/>
      <c r="E4" s="2" t="s">
        <v>9</v>
      </c>
      <c r="F4" s="2" t="s">
        <v>9</v>
      </c>
      <c r="G4" s="2" t="str">
        <f aca="false">IF(E4=F4,"Match","Mismatch")</f>
        <v>Match</v>
      </c>
      <c r="H4" s="3"/>
    </row>
    <row r="5" customFormat="false" ht="15" hidden="false" customHeight="false" outlineLevel="0" collapsed="false">
      <c r="A5" s="2" t="n">
        <v>4</v>
      </c>
      <c r="B5" s="2" t="n">
        <v>2203</v>
      </c>
      <c r="C5" s="3" t="s">
        <v>12</v>
      </c>
      <c r="D5" s="4"/>
      <c r="E5" s="2" t="s">
        <v>9</v>
      </c>
      <c r="F5" s="2" t="s">
        <v>9</v>
      </c>
      <c r="G5" s="2" t="str">
        <f aca="false">IF(E5=F5,"Match","Mismatch")</f>
        <v>Match</v>
      </c>
      <c r="H5" s="3"/>
    </row>
    <row r="6" customFormat="false" ht="15" hidden="false" customHeight="false" outlineLevel="0" collapsed="false">
      <c r="A6" s="2" t="n">
        <v>5</v>
      </c>
      <c r="B6" s="2" t="n">
        <v>2204</v>
      </c>
      <c r="C6" s="3" t="s">
        <v>13</v>
      </c>
      <c r="D6" s="4" t="n">
        <v>0.5423</v>
      </c>
      <c r="E6" s="2" t="s">
        <v>9</v>
      </c>
      <c r="F6" s="2" t="s">
        <v>9</v>
      </c>
      <c r="G6" s="2" t="str">
        <f aca="false">IF(E6=F6,"Match","Mismatch")</f>
        <v>Match</v>
      </c>
      <c r="H6" s="3"/>
    </row>
    <row r="7" customFormat="false" ht="15" hidden="false" customHeight="false" outlineLevel="0" collapsed="false">
      <c r="A7" s="2" t="n">
        <v>6</v>
      </c>
      <c r="B7" s="2" t="n">
        <v>2205</v>
      </c>
      <c r="C7" s="3" t="s">
        <v>14</v>
      </c>
      <c r="D7" s="4" t="n">
        <v>0.7783</v>
      </c>
      <c r="E7" s="2" t="s">
        <v>9</v>
      </c>
      <c r="F7" s="2" t="s">
        <v>9</v>
      </c>
      <c r="G7" s="2" t="str">
        <f aca="false">IF(E7=F7,"Match","Mismatch")</f>
        <v>Match</v>
      </c>
      <c r="H7" s="3"/>
    </row>
    <row r="8" customFormat="false" ht="23.85" hidden="false" customHeight="false" outlineLevel="0" collapsed="false">
      <c r="A8" s="2" t="n">
        <v>7</v>
      </c>
      <c r="B8" s="2" t="n">
        <v>2206</v>
      </c>
      <c r="C8" s="3" t="s">
        <v>15</v>
      </c>
      <c r="D8" s="4" t="n">
        <v>-0.5423</v>
      </c>
      <c r="E8" s="2" t="s">
        <v>16</v>
      </c>
      <c r="F8" s="2" t="s">
        <v>16</v>
      </c>
      <c r="G8" s="2" t="str">
        <f aca="false">IF(E8=F8,"Match","Mismatch")</f>
        <v>Match</v>
      </c>
      <c r="H8" s="3"/>
    </row>
    <row r="9" customFormat="false" ht="15" hidden="false" customHeight="false" outlineLevel="0" collapsed="false">
      <c r="A9" s="2" t="n">
        <v>8</v>
      </c>
      <c r="B9" s="2" t="n">
        <v>2207</v>
      </c>
      <c r="C9" s="3" t="s">
        <v>17</v>
      </c>
      <c r="D9" s="4" t="n">
        <v>-0.3612</v>
      </c>
      <c r="E9" s="2" t="s">
        <v>16</v>
      </c>
      <c r="F9" s="2" t="s">
        <v>16</v>
      </c>
      <c r="G9" s="2" t="str">
        <f aca="false">IF(E9=F9,"Match","Mismatch")</f>
        <v>Match</v>
      </c>
      <c r="H9" s="3"/>
    </row>
    <row r="10" customFormat="false" ht="23.85" hidden="false" customHeight="false" outlineLevel="0" collapsed="false">
      <c r="A10" s="2" t="n">
        <v>9</v>
      </c>
      <c r="B10" s="2" t="n">
        <v>2208</v>
      </c>
      <c r="C10" s="3" t="s">
        <v>18</v>
      </c>
      <c r="D10" s="4" t="n">
        <v>0</v>
      </c>
      <c r="E10" s="2" t="s">
        <v>19</v>
      </c>
      <c r="F10" s="2" t="s">
        <v>16</v>
      </c>
      <c r="G10" s="2" t="str">
        <f aca="false">IF(E10=F10,"Match","Mismatch")</f>
        <v>Mismatch</v>
      </c>
      <c r="H10" s="3" t="s">
        <v>20</v>
      </c>
    </row>
    <row r="11" customFormat="false" ht="15" hidden="false" customHeight="false" outlineLevel="0" collapsed="false">
      <c r="A11" s="2" t="n">
        <v>10</v>
      </c>
      <c r="B11" s="2" t="n">
        <v>2209</v>
      </c>
      <c r="C11" s="3" t="s">
        <v>21</v>
      </c>
      <c r="D11" s="4" t="n">
        <v>0</v>
      </c>
      <c r="E11" s="2" t="s">
        <v>19</v>
      </c>
      <c r="F11" s="2" t="s">
        <v>16</v>
      </c>
      <c r="G11" s="2" t="str">
        <f aca="false">IF(E11=F11,"Match","Mismatch")</f>
        <v>Mismatch</v>
      </c>
      <c r="H11" s="3" t="s">
        <v>22</v>
      </c>
    </row>
    <row r="12" customFormat="false" ht="15" hidden="false" customHeight="false" outlineLevel="0" collapsed="false">
      <c r="A12" s="2" t="n">
        <v>11</v>
      </c>
      <c r="B12" s="2" t="n">
        <v>2210</v>
      </c>
      <c r="C12" s="3" t="s">
        <v>23</v>
      </c>
      <c r="D12" s="4" t="n">
        <v>0.25</v>
      </c>
      <c r="E12" s="2" t="s">
        <v>9</v>
      </c>
      <c r="F12" s="2" t="s">
        <v>9</v>
      </c>
      <c r="G12" s="2" t="str">
        <f aca="false">IF(E12=F12,"Match","Mismatch")</f>
        <v>Match</v>
      </c>
      <c r="H12" s="3" t="s">
        <v>24</v>
      </c>
    </row>
    <row r="13" customFormat="false" ht="23.85" hidden="false" customHeight="false" outlineLevel="0" collapsed="false">
      <c r="A13" s="2" t="n">
        <v>12</v>
      </c>
      <c r="B13" s="2" t="n">
        <v>2211</v>
      </c>
      <c r="C13" s="3" t="s">
        <v>25</v>
      </c>
      <c r="D13" s="4" t="n">
        <v>0.9022</v>
      </c>
      <c r="E13" s="2" t="s">
        <v>9</v>
      </c>
      <c r="F13" s="2" t="s">
        <v>9</v>
      </c>
      <c r="G13" s="2" t="str">
        <f aca="false">IF(E13=F13,"Match","Mismatch")</f>
        <v>Match</v>
      </c>
      <c r="H13" s="3"/>
    </row>
    <row r="14" customFormat="false" ht="23.85" hidden="false" customHeight="false" outlineLevel="0" collapsed="false">
      <c r="A14" s="2" t="n">
        <v>13</v>
      </c>
      <c r="B14" s="2" t="n">
        <v>2212</v>
      </c>
      <c r="C14" s="3" t="s">
        <v>26</v>
      </c>
      <c r="D14" s="4" t="n">
        <v>0.555</v>
      </c>
      <c r="E14" s="2" t="s">
        <v>9</v>
      </c>
      <c r="F14" s="2" t="s">
        <v>9</v>
      </c>
      <c r="G14" s="2" t="str">
        <f aca="false">IF(E14=F14,"Match","Mismatch")</f>
        <v>Match</v>
      </c>
      <c r="H14" s="3"/>
    </row>
    <row r="15" customFormat="false" ht="23.85" hidden="false" customHeight="false" outlineLevel="0" collapsed="false">
      <c r="A15" s="2" t="n">
        <v>14</v>
      </c>
      <c r="B15" s="2" t="n">
        <v>2213</v>
      </c>
      <c r="C15" s="3" t="s">
        <v>27</v>
      </c>
      <c r="D15" s="4" t="n">
        <v>0.8176</v>
      </c>
      <c r="E15" s="2" t="s">
        <v>9</v>
      </c>
      <c r="F15" s="2" t="s">
        <v>9</v>
      </c>
      <c r="G15" s="2" t="str">
        <f aca="false">IF(E15=F15,"Match","Mismatch")</f>
        <v>Match</v>
      </c>
      <c r="H15" s="3"/>
    </row>
    <row r="16" customFormat="false" ht="23.85" hidden="false" customHeight="false" outlineLevel="0" collapsed="false">
      <c r="A16" s="2" t="n">
        <v>15</v>
      </c>
      <c r="B16" s="2" t="n">
        <v>2214</v>
      </c>
      <c r="C16" s="3" t="s">
        <v>28</v>
      </c>
      <c r="D16" s="4" t="n">
        <v>0.2018</v>
      </c>
      <c r="E16" s="2" t="s">
        <v>9</v>
      </c>
      <c r="F16" s="2" t="s">
        <v>9</v>
      </c>
      <c r="G16" s="2" t="str">
        <f aca="false">IF(E16=F16,"Match","Mismatch")</f>
        <v>Match</v>
      </c>
      <c r="H16" s="3" t="s">
        <v>29</v>
      </c>
    </row>
    <row r="17" customFormat="false" ht="23.85" hidden="false" customHeight="false" outlineLevel="0" collapsed="false">
      <c r="A17" s="2" t="n">
        <v>16</v>
      </c>
      <c r="B17" s="2" t="n">
        <v>2215</v>
      </c>
      <c r="C17" s="3" t="s">
        <v>30</v>
      </c>
      <c r="D17" s="4" t="n">
        <v>0.9918</v>
      </c>
      <c r="E17" s="2" t="s">
        <v>9</v>
      </c>
      <c r="F17" s="2" t="s">
        <v>9</v>
      </c>
      <c r="G17" s="2" t="str">
        <f aca="false">IF(E17=F17,"Match","Mismatch")</f>
        <v>Match</v>
      </c>
      <c r="H17" s="3"/>
    </row>
    <row r="18" customFormat="false" ht="15" hidden="false" customHeight="false" outlineLevel="0" collapsed="false">
      <c r="A18" s="2" t="n">
        <v>17</v>
      </c>
      <c r="B18" s="2" t="n">
        <v>2216</v>
      </c>
      <c r="C18" s="3" t="s">
        <v>31</v>
      </c>
      <c r="D18" s="4" t="n">
        <v>0.8316</v>
      </c>
      <c r="E18" s="2" t="s">
        <v>9</v>
      </c>
      <c r="F18" s="2" t="s">
        <v>9</v>
      </c>
      <c r="G18" s="2" t="str">
        <f aca="false">IF(E18=F18,"Match","Mismatch")</f>
        <v>Match</v>
      </c>
      <c r="H18" s="3"/>
    </row>
    <row r="19" customFormat="false" ht="15" hidden="false" customHeight="false" outlineLevel="0" collapsed="false">
      <c r="A19" s="2" t="n">
        <v>18</v>
      </c>
      <c r="B19" s="2" t="n">
        <v>2217</v>
      </c>
      <c r="C19" s="3" t="s">
        <v>32</v>
      </c>
      <c r="D19" s="4" t="n">
        <v>0.9709</v>
      </c>
      <c r="E19" s="2" t="s">
        <v>9</v>
      </c>
      <c r="F19" s="2" t="s">
        <v>9</v>
      </c>
      <c r="G19" s="2" t="str">
        <f aca="false">IF(E19=F19,"Match","Mismatch")</f>
        <v>Match</v>
      </c>
      <c r="H19" s="3"/>
    </row>
    <row r="20" customFormat="false" ht="15" hidden="false" customHeight="false" outlineLevel="0" collapsed="false">
      <c r="A20" s="2" t="n">
        <v>19</v>
      </c>
      <c r="B20" s="2" t="n">
        <v>2218</v>
      </c>
      <c r="C20" s="3" t="s">
        <v>33</v>
      </c>
      <c r="D20" s="4" t="n">
        <v>0.9788</v>
      </c>
      <c r="E20" s="2" t="s">
        <v>9</v>
      </c>
      <c r="F20" s="2" t="s">
        <v>9</v>
      </c>
      <c r="G20" s="2" t="str">
        <f aca="false">IF(E20=F20,"Match","Mismatch")</f>
        <v>Match</v>
      </c>
      <c r="H20" s="3"/>
    </row>
    <row r="21" customFormat="false" ht="23.85" hidden="false" customHeight="false" outlineLevel="0" collapsed="false">
      <c r="A21" s="2" t="n">
        <v>20</v>
      </c>
      <c r="B21" s="2" t="n">
        <v>2219</v>
      </c>
      <c r="C21" s="3" t="s">
        <v>34</v>
      </c>
      <c r="D21" s="4" t="n">
        <v>0.9042</v>
      </c>
      <c r="E21" s="2" t="s">
        <v>9</v>
      </c>
      <c r="F21" s="2" t="s">
        <v>9</v>
      </c>
      <c r="G21" s="2" t="str">
        <f aca="false">IF(E21=F21,"Match","Mismatch")</f>
        <v>Match</v>
      </c>
      <c r="H21" s="3"/>
    </row>
    <row r="22" customFormat="false" ht="23.85" hidden="false" customHeight="false" outlineLevel="0" collapsed="false">
      <c r="A22" s="2" t="n">
        <v>21</v>
      </c>
      <c r="B22" s="2" t="n">
        <v>2220</v>
      </c>
      <c r="C22" s="3" t="s">
        <v>35</v>
      </c>
      <c r="D22" s="4" t="n">
        <v>0.9856</v>
      </c>
      <c r="E22" s="2" t="s">
        <v>9</v>
      </c>
      <c r="F22" s="2" t="s">
        <v>9</v>
      </c>
      <c r="G22" s="2" t="str">
        <f aca="false">IF(E22=F22,"Match","Mismatch")</f>
        <v>Match</v>
      </c>
      <c r="H22" s="3"/>
    </row>
    <row r="23" customFormat="false" ht="15" hidden="false" customHeight="false" outlineLevel="0" collapsed="false">
      <c r="A23" s="2" t="n">
        <v>22</v>
      </c>
      <c r="B23" s="2" t="n">
        <v>2221</v>
      </c>
      <c r="C23" s="3" t="s">
        <v>36</v>
      </c>
      <c r="D23" s="4" t="n">
        <v>0.743</v>
      </c>
      <c r="E23" s="2" t="s">
        <v>9</v>
      </c>
      <c r="F23" s="2" t="s">
        <v>9</v>
      </c>
      <c r="G23" s="2" t="str">
        <f aca="false">IF(E23=F23,"Match","Mismatch")</f>
        <v>Match</v>
      </c>
      <c r="H23" s="3"/>
    </row>
    <row r="24" customFormat="false" ht="15" hidden="false" customHeight="false" outlineLevel="0" collapsed="false">
      <c r="A24" s="2" t="n">
        <v>23</v>
      </c>
      <c r="B24" s="2" t="n">
        <v>2222</v>
      </c>
      <c r="C24" s="3" t="s">
        <v>37</v>
      </c>
      <c r="D24" s="4" t="n">
        <v>0.6476</v>
      </c>
      <c r="E24" s="2" t="s">
        <v>9</v>
      </c>
      <c r="F24" s="2" t="s">
        <v>9</v>
      </c>
      <c r="G24" s="2" t="str">
        <f aca="false">IF(E24=F24,"Match","Mismatch")</f>
        <v>Match</v>
      </c>
      <c r="H24" s="3"/>
    </row>
    <row r="25" customFormat="false" ht="15" hidden="false" customHeight="false" outlineLevel="0" collapsed="false">
      <c r="A25" s="2" t="n">
        <v>24</v>
      </c>
      <c r="B25" s="2" t="n">
        <v>2223</v>
      </c>
      <c r="C25" s="3" t="s">
        <v>38</v>
      </c>
      <c r="D25" s="4" t="n">
        <v>0.743</v>
      </c>
      <c r="E25" s="2" t="s">
        <v>9</v>
      </c>
      <c r="F25" s="2" t="s">
        <v>9</v>
      </c>
      <c r="G25" s="2" t="str">
        <f aca="false">IF(E25=F25,"Match","Mismatch")</f>
        <v>Match</v>
      </c>
      <c r="H25" s="3"/>
    </row>
    <row r="26" customFormat="false" ht="23.85" hidden="false" customHeight="false" outlineLevel="0" collapsed="false">
      <c r="A26" s="2" t="n">
        <v>25</v>
      </c>
      <c r="B26" s="2" t="n">
        <v>2224</v>
      </c>
      <c r="C26" s="3" t="s">
        <v>39</v>
      </c>
      <c r="D26" s="4" t="n">
        <v>0.8674</v>
      </c>
      <c r="E26" s="2" t="s">
        <v>9</v>
      </c>
      <c r="F26" s="2" t="s">
        <v>9</v>
      </c>
      <c r="G26" s="2" t="str">
        <f aca="false">IF(E26=F26,"Match","Mismatch")</f>
        <v>Match</v>
      </c>
      <c r="H26" s="3"/>
    </row>
    <row r="27" customFormat="false" ht="15" hidden="false" customHeight="false" outlineLevel="0" collapsed="false">
      <c r="A27" s="2" t="n">
        <v>26</v>
      </c>
      <c r="B27" s="2" t="n">
        <v>2225</v>
      </c>
      <c r="C27" s="3" t="s">
        <v>40</v>
      </c>
      <c r="D27" s="4" t="n">
        <v>0.9477</v>
      </c>
      <c r="E27" s="2" t="s">
        <v>9</v>
      </c>
      <c r="F27" s="2" t="s">
        <v>9</v>
      </c>
      <c r="G27" s="2" t="str">
        <f aca="false">IF(E27=F27,"Match","Mismatch")</f>
        <v>Match</v>
      </c>
      <c r="H27" s="3"/>
    </row>
    <row r="28" customFormat="false" ht="15" hidden="false" customHeight="false" outlineLevel="0" collapsed="false">
      <c r="A28" s="2" t="n">
        <v>27</v>
      </c>
      <c r="B28" s="2" t="n">
        <v>2226</v>
      </c>
      <c r="C28" s="3" t="s">
        <v>41</v>
      </c>
      <c r="D28" s="4" t="n">
        <v>0.6206</v>
      </c>
      <c r="E28" s="2" t="s">
        <v>9</v>
      </c>
      <c r="F28" s="2" t="s">
        <v>9</v>
      </c>
      <c r="G28" s="2" t="str">
        <f aca="false">IF(E28=F28,"Match","Mismatch")</f>
        <v>Match</v>
      </c>
      <c r="H28" s="3" t="s">
        <v>42</v>
      </c>
    </row>
    <row r="29" customFormat="false" ht="15" hidden="false" customHeight="false" outlineLevel="0" collapsed="false">
      <c r="A29" s="2" t="n">
        <v>28</v>
      </c>
      <c r="B29" s="2" t="n">
        <v>2227</v>
      </c>
      <c r="C29" s="3" t="s">
        <v>43</v>
      </c>
      <c r="D29" s="4" t="n">
        <v>0.925</v>
      </c>
      <c r="E29" s="2" t="s">
        <v>9</v>
      </c>
      <c r="F29" s="2" t="s">
        <v>9</v>
      </c>
      <c r="G29" s="2" t="str">
        <f aca="false">IF(E29=F29,"Match","Mismatch")</f>
        <v>Match</v>
      </c>
      <c r="H29" s="3"/>
    </row>
    <row r="30" customFormat="false" ht="23.85" hidden="false" customHeight="false" outlineLevel="0" collapsed="false">
      <c r="A30" s="2" t="n">
        <v>29</v>
      </c>
      <c r="B30" s="2" t="n">
        <v>2228</v>
      </c>
      <c r="C30" s="3" t="s">
        <v>44</v>
      </c>
      <c r="D30" s="4" t="n">
        <v>0.8934</v>
      </c>
      <c r="E30" s="2" t="s">
        <v>9</v>
      </c>
      <c r="F30" s="2" t="s">
        <v>9</v>
      </c>
      <c r="G30" s="2" t="str">
        <f aca="false">IF(E30=F30,"Match","Mismatch")</f>
        <v>Match</v>
      </c>
      <c r="H30" s="3"/>
    </row>
    <row r="31" customFormat="false" ht="23.85" hidden="false" customHeight="false" outlineLevel="0" collapsed="false">
      <c r="A31" s="2" t="n">
        <v>30</v>
      </c>
      <c r="B31" s="2" t="n">
        <v>2229</v>
      </c>
      <c r="C31" s="3" t="s">
        <v>45</v>
      </c>
      <c r="D31" s="4" t="n">
        <v>0.7351</v>
      </c>
      <c r="E31" s="2" t="s">
        <v>9</v>
      </c>
      <c r="F31" s="2" t="s">
        <v>9</v>
      </c>
      <c r="G31" s="2" t="str">
        <f aca="false">IF(E31=F31,"Match","Mismatch")</f>
        <v>Match</v>
      </c>
      <c r="H31" s="3" t="s">
        <v>46</v>
      </c>
    </row>
    <row r="32" customFormat="false" ht="23.85" hidden="false" customHeight="false" outlineLevel="0" collapsed="false">
      <c r="A32" s="2" t="n">
        <v>31</v>
      </c>
      <c r="B32" s="2" t="n">
        <v>2230</v>
      </c>
      <c r="C32" s="3" t="s">
        <v>47</v>
      </c>
      <c r="D32" s="4" t="n">
        <v>0</v>
      </c>
      <c r="E32" s="2" t="s">
        <v>19</v>
      </c>
      <c r="F32" s="2" t="s">
        <v>16</v>
      </c>
      <c r="G32" s="2" t="str">
        <f aca="false">IF(E32=F32,"Match","Mismatch")</f>
        <v>Mismatch</v>
      </c>
      <c r="H32" s="3" t="s">
        <v>48</v>
      </c>
    </row>
    <row r="33" customFormat="false" ht="15" hidden="false" customHeight="false" outlineLevel="0" collapsed="false">
      <c r="A33" s="2" t="n">
        <v>32</v>
      </c>
      <c r="B33" s="2" t="n">
        <v>2231</v>
      </c>
      <c r="C33" s="3" t="s">
        <v>49</v>
      </c>
      <c r="D33" s="4" t="n">
        <v>0.431</v>
      </c>
      <c r="E33" s="2" t="s">
        <v>9</v>
      </c>
      <c r="F33" s="2" t="s">
        <v>19</v>
      </c>
      <c r="G33" s="2" t="str">
        <f aca="false">IF(E33=F33,"Match","Mismatch")</f>
        <v>Mismatch</v>
      </c>
      <c r="H33" s="3" t="s">
        <v>50</v>
      </c>
    </row>
    <row r="34" customFormat="false" ht="15" hidden="false" customHeight="false" outlineLevel="0" collapsed="false">
      <c r="A34" s="2" t="n">
        <v>33</v>
      </c>
      <c r="B34" s="2" t="n">
        <v>2232</v>
      </c>
      <c r="C34" s="3" t="s">
        <v>51</v>
      </c>
      <c r="D34" s="4" t="n">
        <v>0</v>
      </c>
      <c r="E34" s="2" t="s">
        <v>19</v>
      </c>
      <c r="F34" s="2" t="s">
        <v>16</v>
      </c>
      <c r="G34" s="2" t="str">
        <f aca="false">IF(E34=F34,"Match","Mismatch")</f>
        <v>Mismatch</v>
      </c>
      <c r="H34" s="3" t="s">
        <v>52</v>
      </c>
    </row>
    <row r="35" customFormat="false" ht="15" hidden="false" customHeight="false" outlineLevel="0" collapsed="false">
      <c r="A35" s="2" t="n">
        <v>34</v>
      </c>
      <c r="B35" s="2" t="n">
        <v>2233</v>
      </c>
      <c r="C35" s="3" t="s">
        <v>53</v>
      </c>
      <c r="D35" s="4" t="n">
        <v>-0.5423</v>
      </c>
      <c r="E35" s="2" t="s">
        <v>16</v>
      </c>
      <c r="F35" s="2" t="s">
        <v>16</v>
      </c>
      <c r="G35" s="2" t="str">
        <f aca="false">IF(E35=F35,"Match","Mismatch")</f>
        <v>Match</v>
      </c>
      <c r="H35" s="3"/>
    </row>
    <row r="36" customFormat="false" ht="15" hidden="false" customHeight="false" outlineLevel="0" collapsed="false">
      <c r="A36" s="2" t="n">
        <v>35</v>
      </c>
      <c r="B36" s="2" t="n">
        <v>2234</v>
      </c>
      <c r="C36" s="3" t="s">
        <v>54</v>
      </c>
      <c r="D36" s="4" t="n">
        <v>-0.4588</v>
      </c>
      <c r="E36" s="2" t="s">
        <v>16</v>
      </c>
      <c r="F36" s="2" t="s">
        <v>16</v>
      </c>
      <c r="G36" s="2" t="str">
        <f aca="false">IF(E36=F36,"Match","Mismatch")</f>
        <v>Match</v>
      </c>
      <c r="H36" s="3"/>
    </row>
    <row r="37" customFormat="false" ht="15" hidden="false" customHeight="false" outlineLevel="0" collapsed="false">
      <c r="A37" s="2" t="n">
        <v>36</v>
      </c>
      <c r="B37" s="2" t="n">
        <v>2235</v>
      </c>
      <c r="C37" s="3" t="s">
        <v>55</v>
      </c>
      <c r="D37" s="4" t="n">
        <v>-0.4588</v>
      </c>
      <c r="E37" s="2" t="s">
        <v>16</v>
      </c>
      <c r="F37" s="2" t="s">
        <v>16</v>
      </c>
      <c r="G37" s="2" t="str">
        <f aca="false">IF(E37=F37,"Match","Mismatch")</f>
        <v>Match</v>
      </c>
      <c r="H37" s="3"/>
    </row>
    <row r="38" customFormat="false" ht="23.85" hidden="false" customHeight="false" outlineLevel="0" collapsed="false">
      <c r="A38" s="2" t="n">
        <v>37</v>
      </c>
      <c r="B38" s="2" t="n">
        <v>2236</v>
      </c>
      <c r="C38" s="3" t="s">
        <v>56</v>
      </c>
      <c r="D38" s="4" t="n">
        <v>0.3071</v>
      </c>
      <c r="E38" s="2" t="s">
        <v>9</v>
      </c>
      <c r="F38" s="2" t="s">
        <v>9</v>
      </c>
      <c r="G38" s="2" t="str">
        <f aca="false">IF(E38=F38,"Match","Mismatch")</f>
        <v>Match</v>
      </c>
      <c r="H38" s="3" t="s">
        <v>57</v>
      </c>
    </row>
    <row r="39" customFormat="false" ht="23.85" hidden="false" customHeight="false" outlineLevel="0" collapsed="false">
      <c r="A39" s="2" t="n">
        <v>38</v>
      </c>
      <c r="B39" s="2" t="n">
        <v>2237</v>
      </c>
      <c r="C39" s="3" t="s">
        <v>58</v>
      </c>
      <c r="D39" s="4" t="n">
        <v>-0.9153</v>
      </c>
      <c r="E39" s="2" t="s">
        <v>16</v>
      </c>
      <c r="F39" s="2" t="s">
        <v>16</v>
      </c>
      <c r="G39" s="2" t="str">
        <f aca="false">IF(E39=F39,"Match","Mismatch")</f>
        <v>Match</v>
      </c>
      <c r="H39" s="3"/>
    </row>
    <row r="40" customFormat="false" ht="23.85" hidden="false" customHeight="false" outlineLevel="0" collapsed="false">
      <c r="A40" s="2" t="n">
        <v>39</v>
      </c>
      <c r="B40" s="2" t="n">
        <v>2238</v>
      </c>
      <c r="C40" s="3" t="s">
        <v>59</v>
      </c>
      <c r="D40" s="4" t="n">
        <v>0.431</v>
      </c>
      <c r="E40" s="2" t="s">
        <v>9</v>
      </c>
      <c r="F40" s="2" t="s">
        <v>16</v>
      </c>
      <c r="G40" s="2" t="str">
        <f aca="false">IF(E40=F40,"Match","Mismatch")</f>
        <v>Mismatch</v>
      </c>
      <c r="H40" s="3" t="s">
        <v>60</v>
      </c>
    </row>
    <row r="41" customFormat="false" ht="23.85" hidden="false" customHeight="false" outlineLevel="0" collapsed="false">
      <c r="A41" s="2" t="n">
        <v>40</v>
      </c>
      <c r="B41" s="2" t="n">
        <v>2239</v>
      </c>
      <c r="C41" s="3" t="s">
        <v>61</v>
      </c>
      <c r="D41" s="4" t="n">
        <v>-0.5423</v>
      </c>
      <c r="E41" s="2" t="s">
        <v>16</v>
      </c>
      <c r="F41" s="2" t="s">
        <v>16</v>
      </c>
      <c r="G41" s="2" t="str">
        <f aca="false">IF(E41=F41,"Match","Mismatch")</f>
        <v>Match</v>
      </c>
      <c r="H41" s="3"/>
    </row>
    <row r="42" customFormat="false" ht="23.85" hidden="false" customHeight="false" outlineLevel="0" collapsed="false">
      <c r="A42" s="2" t="n">
        <v>41</v>
      </c>
      <c r="B42" s="2" t="n">
        <v>2240</v>
      </c>
      <c r="C42" s="3" t="s">
        <v>62</v>
      </c>
      <c r="D42" s="4" t="n">
        <v>-0.7351</v>
      </c>
      <c r="E42" s="2" t="s">
        <v>16</v>
      </c>
      <c r="F42" s="2" t="s">
        <v>16</v>
      </c>
      <c r="G42" s="2" t="str">
        <f aca="false">IF(E42=F42,"Match","Mismatch")</f>
        <v>Match</v>
      </c>
      <c r="H42" s="3"/>
    </row>
    <row r="43" customFormat="false" ht="15" hidden="false" customHeight="false" outlineLevel="0" collapsed="false">
      <c r="A43" s="2" t="n">
        <v>42</v>
      </c>
      <c r="B43" s="2" t="n">
        <v>2241</v>
      </c>
      <c r="C43" s="3" t="s">
        <v>63</v>
      </c>
      <c r="D43" s="4" t="n">
        <v>-0.93</v>
      </c>
      <c r="E43" s="2" t="s">
        <v>16</v>
      </c>
      <c r="F43" s="2" t="s">
        <v>16</v>
      </c>
      <c r="G43" s="2" t="str">
        <f aca="false">IF(E43=F43,"Match","Mismatch")</f>
        <v>Match</v>
      </c>
      <c r="H43" s="3"/>
    </row>
    <row r="44" customFormat="false" ht="23.85" hidden="false" customHeight="false" outlineLevel="0" collapsed="false">
      <c r="A44" s="2" t="n">
        <v>43</v>
      </c>
      <c r="B44" s="2" t="n">
        <v>2242</v>
      </c>
      <c r="C44" s="3" t="s">
        <v>64</v>
      </c>
      <c r="D44" s="4" t="n">
        <v>-0.9693</v>
      </c>
      <c r="E44" s="2" t="s">
        <v>16</v>
      </c>
      <c r="F44" s="2" t="s">
        <v>16</v>
      </c>
      <c r="G44" s="2" t="str">
        <f aca="false">IF(E44=F44,"Match","Mismatch")</f>
        <v>Match</v>
      </c>
      <c r="H44" s="3"/>
    </row>
    <row r="45" customFormat="false" ht="15" hidden="false" customHeight="false" outlineLevel="0" collapsed="false">
      <c r="A45" s="2" t="n">
        <v>44</v>
      </c>
      <c r="B45" s="2" t="n">
        <v>2243</v>
      </c>
      <c r="C45" s="3" t="s">
        <v>65</v>
      </c>
      <c r="D45" s="4" t="n">
        <v>-0.6956</v>
      </c>
      <c r="E45" s="2" t="s">
        <v>16</v>
      </c>
      <c r="F45" s="2" t="s">
        <v>16</v>
      </c>
      <c r="G45" s="2" t="str">
        <f aca="false">IF(E45=F45,"Match","Mismatch")</f>
        <v>Match</v>
      </c>
      <c r="H45" s="3"/>
    </row>
    <row r="46" customFormat="false" ht="23.85" hidden="false" customHeight="false" outlineLevel="0" collapsed="false">
      <c r="A46" s="2" t="n">
        <v>45</v>
      </c>
      <c r="B46" s="2" t="n">
        <v>2244</v>
      </c>
      <c r="C46" s="3" t="s">
        <v>66</v>
      </c>
      <c r="D46" s="4" t="n">
        <v>-0.2755</v>
      </c>
      <c r="E46" s="2" t="s">
        <v>16</v>
      </c>
      <c r="F46" s="2" t="s">
        <v>16</v>
      </c>
      <c r="G46" s="2" t="str">
        <f aca="false">IF(E46=F46,"Match","Mismatch")</f>
        <v>Match</v>
      </c>
      <c r="H46" s="3"/>
    </row>
    <row r="47" customFormat="false" ht="23.85" hidden="false" customHeight="false" outlineLevel="0" collapsed="false">
      <c r="A47" s="2" t="n">
        <v>46</v>
      </c>
      <c r="B47" s="2" t="n">
        <v>2245</v>
      </c>
      <c r="C47" s="3" t="s">
        <v>67</v>
      </c>
      <c r="D47" s="4" t="n">
        <v>-0.9453</v>
      </c>
      <c r="E47" s="2" t="s">
        <v>16</v>
      </c>
      <c r="F47" s="2" t="s">
        <v>16</v>
      </c>
      <c r="G47" s="2" t="str">
        <f aca="false">IF(E47=F47,"Match","Mismatch")</f>
        <v>Match</v>
      </c>
      <c r="H47" s="3"/>
    </row>
    <row r="48" customFormat="false" ht="23.85" hidden="false" customHeight="false" outlineLevel="0" collapsed="false">
      <c r="A48" s="2" t="n">
        <v>47</v>
      </c>
      <c r="B48" s="2" t="n">
        <v>2246</v>
      </c>
      <c r="C48" s="3" t="s">
        <v>68</v>
      </c>
      <c r="D48" s="4" t="n">
        <v>-0.968</v>
      </c>
      <c r="E48" s="2" t="s">
        <v>16</v>
      </c>
      <c r="F48" s="2" t="s">
        <v>16</v>
      </c>
      <c r="G48" s="2" t="str">
        <f aca="false">IF(E48=F48,"Match","Mismatch")</f>
        <v>Match</v>
      </c>
      <c r="H48" s="3"/>
    </row>
    <row r="49" customFormat="false" ht="15" hidden="false" customHeight="false" outlineLevel="0" collapsed="false">
      <c r="A49" s="2" t="n">
        <v>48</v>
      </c>
      <c r="B49" s="2" t="n">
        <v>2247</v>
      </c>
      <c r="C49" s="3" t="s">
        <v>69</v>
      </c>
      <c r="D49" s="4" t="n">
        <v>-0.8423</v>
      </c>
      <c r="E49" s="2" t="s">
        <v>16</v>
      </c>
      <c r="F49" s="2" t="s">
        <v>16</v>
      </c>
      <c r="G49" s="2" t="str">
        <f aca="false">IF(E49=F49,"Match","Mismatch")</f>
        <v>Match</v>
      </c>
      <c r="H49" s="3"/>
    </row>
    <row r="50" customFormat="false" ht="15" hidden="false" customHeight="false" outlineLevel="0" collapsed="false">
      <c r="A50" s="2" t="n">
        <v>49</v>
      </c>
      <c r="B50" s="2" t="n">
        <v>2248</v>
      </c>
      <c r="C50" s="3" t="s">
        <v>70</v>
      </c>
      <c r="D50" s="4" t="n">
        <v>-0.7579</v>
      </c>
      <c r="E50" s="2" t="s">
        <v>16</v>
      </c>
      <c r="F50" s="2" t="s">
        <v>16</v>
      </c>
      <c r="G50" s="2" t="str">
        <f aca="false">IF(E50=F50,"Match","Mismatch")</f>
        <v>Match</v>
      </c>
      <c r="H50" s="3"/>
    </row>
    <row r="51" customFormat="false" ht="15" hidden="false" customHeight="false" outlineLevel="0" collapsed="false">
      <c r="A51" s="2" t="n">
        <v>50</v>
      </c>
      <c r="B51" s="2" t="n">
        <v>2249</v>
      </c>
      <c r="C51" s="3" t="s">
        <v>71</v>
      </c>
      <c r="D51" s="4" t="n">
        <v>-0.8313</v>
      </c>
      <c r="E51" s="2" t="s">
        <v>16</v>
      </c>
      <c r="F51" s="2" t="s">
        <v>16</v>
      </c>
      <c r="G51" s="2" t="str">
        <f aca="false">IF(E51=F51,"Match","Mismatch")</f>
        <v>Match</v>
      </c>
      <c r="H51" s="3"/>
    </row>
    <row r="52" customFormat="false" ht="15" hidden="false" customHeight="false" outlineLevel="0" collapsed="false">
      <c r="A52" s="2" t="n">
        <v>51</v>
      </c>
      <c r="B52" s="2" t="n">
        <v>2250</v>
      </c>
      <c r="C52" s="3" t="s">
        <v>72</v>
      </c>
      <c r="D52" s="4" t="n">
        <v>0</v>
      </c>
      <c r="E52" s="2" t="s">
        <v>19</v>
      </c>
      <c r="F52" s="2" t="s">
        <v>16</v>
      </c>
      <c r="G52" s="2" t="str">
        <f aca="false">IF(E52=F52,"Match","Mismatch")</f>
        <v>Mismatch</v>
      </c>
      <c r="H52" s="3" t="s">
        <v>73</v>
      </c>
    </row>
    <row r="53" customFormat="false" ht="15" hidden="false" customHeight="false" outlineLevel="0" collapsed="false">
      <c r="A53" s="2" t="n">
        <v>52</v>
      </c>
      <c r="B53" s="2" t="n">
        <v>2251</v>
      </c>
      <c r="C53" s="3" t="s">
        <v>74</v>
      </c>
      <c r="D53" s="4" t="n">
        <v>0.34</v>
      </c>
      <c r="E53" s="2" t="s">
        <v>9</v>
      </c>
      <c r="F53" s="2" t="s">
        <v>16</v>
      </c>
      <c r="G53" s="2" t="str">
        <f aca="false">IF(E53=F53,"Match","Mismatch")</f>
        <v>Mismatch</v>
      </c>
      <c r="H53" s="3" t="s">
        <v>75</v>
      </c>
    </row>
    <row r="54" customFormat="false" ht="15" hidden="false" customHeight="false" outlineLevel="0" collapsed="false">
      <c r="A54" s="2" t="n">
        <v>53</v>
      </c>
      <c r="B54" s="2" t="n">
        <v>2252</v>
      </c>
      <c r="C54" s="3" t="s">
        <v>76</v>
      </c>
      <c r="D54" s="4" t="n">
        <v>0</v>
      </c>
      <c r="E54" s="2" t="s">
        <v>19</v>
      </c>
      <c r="F54" s="2" t="s">
        <v>16</v>
      </c>
      <c r="G54" s="2" t="str">
        <f aca="false">IF(E54=F54,"Match","Mismatch")</f>
        <v>Mismatch</v>
      </c>
      <c r="H54" s="3" t="s">
        <v>77</v>
      </c>
    </row>
    <row r="55" customFormat="false" ht="15" hidden="false" customHeight="false" outlineLevel="0" collapsed="false">
      <c r="A55" s="2" t="n">
        <v>54</v>
      </c>
      <c r="B55" s="2" t="n">
        <v>2253</v>
      </c>
      <c r="C55" s="3" t="s">
        <v>78</v>
      </c>
      <c r="D55" s="4" t="n">
        <v>-0.5423</v>
      </c>
      <c r="E55" s="2" t="s">
        <v>16</v>
      </c>
      <c r="F55" s="2" t="s">
        <v>16</v>
      </c>
      <c r="G55" s="2" t="str">
        <f aca="false">IF(E55=F55,"Match","Mismatch")</f>
        <v>Match</v>
      </c>
      <c r="H55" s="3"/>
    </row>
    <row r="56" customFormat="false" ht="15" hidden="false" customHeight="false" outlineLevel="0" collapsed="false">
      <c r="A56" s="2" t="n">
        <v>55</v>
      </c>
      <c r="B56" s="2" t="n">
        <v>2254</v>
      </c>
      <c r="C56" s="3" t="s">
        <v>79</v>
      </c>
      <c r="D56" s="4" t="n">
        <v>0</v>
      </c>
      <c r="E56" s="2" t="s">
        <v>19</v>
      </c>
      <c r="F56" s="2" t="s">
        <v>16</v>
      </c>
      <c r="G56" s="2" t="str">
        <f aca="false">IF(E56=F56,"Match","Mismatch")</f>
        <v>Mismatch</v>
      </c>
      <c r="H56" s="3" t="s">
        <v>80</v>
      </c>
    </row>
    <row r="57" customFormat="false" ht="15" hidden="false" customHeight="false" outlineLevel="0" collapsed="false">
      <c r="A57" s="2" t="n">
        <v>56</v>
      </c>
      <c r="B57" s="2" t="n">
        <v>2255</v>
      </c>
      <c r="C57" s="3" t="s">
        <v>81</v>
      </c>
      <c r="D57" s="4" t="n">
        <v>-0.5951</v>
      </c>
      <c r="E57" s="2" t="s">
        <v>16</v>
      </c>
      <c r="F57" s="2" t="s">
        <v>16</v>
      </c>
      <c r="G57" s="2" t="str">
        <f aca="false">IF(E57=F57,"Match","Mismatch")</f>
        <v>Match</v>
      </c>
      <c r="H57" s="3"/>
    </row>
    <row r="58" customFormat="false" ht="23.85" hidden="false" customHeight="false" outlineLevel="0" collapsed="false">
      <c r="A58" s="2" t="n">
        <v>57</v>
      </c>
      <c r="B58" s="2" t="n">
        <v>2256</v>
      </c>
      <c r="C58" s="3" t="s">
        <v>82</v>
      </c>
      <c r="D58" s="4" t="n">
        <v>-0.7906</v>
      </c>
      <c r="E58" s="2" t="s">
        <v>16</v>
      </c>
      <c r="F58" s="2" t="s">
        <v>16</v>
      </c>
      <c r="G58" s="2" t="str">
        <f aca="false">IF(E58=F58,"Match","Mismatch")</f>
        <v>Match</v>
      </c>
      <c r="H58" s="3" t="s">
        <v>83</v>
      </c>
    </row>
    <row r="59" customFormat="false" ht="15" hidden="false" customHeight="false" outlineLevel="0" collapsed="false">
      <c r="A59" s="2" t="n">
        <v>58</v>
      </c>
      <c r="B59" s="2" t="n">
        <v>2257</v>
      </c>
      <c r="C59" s="3" t="s">
        <v>84</v>
      </c>
      <c r="D59" s="4" t="n">
        <v>-0.9231</v>
      </c>
      <c r="E59" s="2" t="s">
        <v>16</v>
      </c>
      <c r="F59" s="2" t="s">
        <v>16</v>
      </c>
      <c r="G59" s="2" t="str">
        <f aca="false">IF(E59=F59,"Match","Mismatch")</f>
        <v>Match</v>
      </c>
      <c r="H59" s="3"/>
    </row>
    <row r="60" customFormat="false" ht="23.85" hidden="false" customHeight="false" outlineLevel="0" collapsed="false">
      <c r="A60" s="2" t="n">
        <v>59</v>
      </c>
      <c r="B60" s="2" t="n">
        <v>2258</v>
      </c>
      <c r="C60" s="3" t="s">
        <v>85</v>
      </c>
      <c r="D60" s="4" t="n">
        <v>0.1027</v>
      </c>
      <c r="E60" s="2" t="s">
        <v>9</v>
      </c>
      <c r="F60" s="2" t="s">
        <v>16</v>
      </c>
      <c r="G60" s="2" t="str">
        <f aca="false">IF(E60=F60,"Match","Mismatch")</f>
        <v>Mismatch</v>
      </c>
      <c r="H60" s="3" t="s">
        <v>86</v>
      </c>
    </row>
    <row r="61" customFormat="false" ht="23.85" hidden="false" customHeight="false" outlineLevel="0" collapsed="false">
      <c r="A61" s="2" t="n">
        <v>60</v>
      </c>
      <c r="B61" s="2" t="n">
        <v>2259</v>
      </c>
      <c r="C61" s="3" t="s">
        <v>87</v>
      </c>
      <c r="D61" s="4" t="n">
        <v>-0.9451</v>
      </c>
      <c r="E61" s="2" t="s">
        <v>16</v>
      </c>
      <c r="F61" s="2" t="s">
        <v>16</v>
      </c>
      <c r="G61" s="2" t="str">
        <f aca="false">IF(E61=F61,"Match","Mismatch")</f>
        <v>Match</v>
      </c>
      <c r="H61" s="3"/>
    </row>
    <row r="62" customFormat="false" ht="15" hidden="false" customHeight="false" outlineLevel="0" collapsed="false">
      <c r="A62" s="2" t="n">
        <v>61</v>
      </c>
      <c r="B62" s="2" t="n">
        <v>2260</v>
      </c>
      <c r="C62" s="3" t="s">
        <v>88</v>
      </c>
      <c r="D62" s="4" t="n">
        <v>-0.4215</v>
      </c>
      <c r="E62" s="2" t="s">
        <v>16</v>
      </c>
      <c r="F62" s="2" t="s">
        <v>16</v>
      </c>
      <c r="G62" s="2" t="str">
        <f aca="false">IF(E62=F62,"Match","Mismatch")</f>
        <v>Match</v>
      </c>
      <c r="H62" s="3"/>
    </row>
    <row r="63" customFormat="false" ht="15" hidden="false" customHeight="false" outlineLevel="0" collapsed="false">
      <c r="A63" s="2" t="n">
        <v>62</v>
      </c>
      <c r="B63" s="2" t="n">
        <v>2261</v>
      </c>
      <c r="C63" s="3" t="s">
        <v>89</v>
      </c>
      <c r="D63" s="4" t="n">
        <v>-0.6124</v>
      </c>
      <c r="E63" s="2" t="s">
        <v>16</v>
      </c>
      <c r="F63" s="2" t="s">
        <v>16</v>
      </c>
      <c r="G63" s="2" t="str">
        <f aca="false">IF(E63=F63,"Match","Mismatch")</f>
        <v>Match</v>
      </c>
      <c r="H63" s="3"/>
    </row>
    <row r="64" customFormat="false" ht="15" hidden="false" customHeight="false" outlineLevel="0" collapsed="false">
      <c r="A64" s="2" t="n">
        <v>63</v>
      </c>
      <c r="B64" s="2" t="n">
        <v>2262</v>
      </c>
      <c r="C64" s="3" t="s">
        <v>90</v>
      </c>
      <c r="D64" s="4" t="n">
        <v>-0.2755</v>
      </c>
      <c r="E64" s="2" t="s">
        <v>16</v>
      </c>
      <c r="F64" s="2" t="s">
        <v>16</v>
      </c>
      <c r="G64" s="2" t="str">
        <f aca="false">IF(E64=F64,"Match","Mismatch")</f>
        <v>Match</v>
      </c>
      <c r="H64" s="3"/>
    </row>
    <row r="65" customFormat="false" ht="15" hidden="false" customHeight="false" outlineLevel="0" collapsed="false">
      <c r="A65" s="2" t="n">
        <v>64</v>
      </c>
      <c r="B65" s="2" t="n">
        <v>2263</v>
      </c>
      <c r="C65" s="3" t="s">
        <v>91</v>
      </c>
      <c r="D65" s="4" t="n">
        <v>-0.5859</v>
      </c>
      <c r="E65" s="2" t="s">
        <v>16</v>
      </c>
      <c r="F65" s="2" t="s">
        <v>16</v>
      </c>
      <c r="G65" s="2" t="str">
        <f aca="false">IF(E65=F65,"Match","Mismatch")</f>
        <v>Match</v>
      </c>
      <c r="H65" s="3"/>
    </row>
    <row r="66" customFormat="false" ht="15" hidden="false" customHeight="false" outlineLevel="0" collapsed="false">
      <c r="A66" s="2" t="n">
        <v>65</v>
      </c>
      <c r="B66" s="2" t="n">
        <v>2264</v>
      </c>
      <c r="C66" s="3" t="s">
        <v>92</v>
      </c>
      <c r="D66" s="4" t="n">
        <v>-0.7783</v>
      </c>
      <c r="E66" s="2" t="s">
        <v>16</v>
      </c>
      <c r="F66" s="2" t="s">
        <v>16</v>
      </c>
      <c r="G66" s="2" t="str">
        <f aca="false">IF(E66=F66,"Match","Mismatch")</f>
        <v>Match</v>
      </c>
      <c r="H66" s="3"/>
    </row>
    <row r="67" customFormat="false" ht="15" hidden="false" customHeight="false" outlineLevel="0" collapsed="false">
      <c r="A67" s="2" t="n">
        <v>66</v>
      </c>
      <c r="B67" s="2" t="n">
        <v>2265</v>
      </c>
      <c r="C67" s="3" t="s">
        <v>93</v>
      </c>
      <c r="D67" s="4" t="n">
        <v>-0.5106</v>
      </c>
      <c r="E67" s="2" t="s">
        <v>16</v>
      </c>
      <c r="F67" s="2" t="s">
        <v>16</v>
      </c>
      <c r="G67" s="2" t="str">
        <f aca="false">IF(E67=F67,"Match","Mismatch")</f>
        <v>Match</v>
      </c>
      <c r="H67" s="3"/>
    </row>
    <row r="68" customFormat="false" ht="15" hidden="false" customHeight="false" outlineLevel="0" collapsed="false">
      <c r="A68" s="2" t="n">
        <v>67</v>
      </c>
      <c r="B68" s="2" t="n">
        <v>2266</v>
      </c>
      <c r="C68" s="3" t="s">
        <v>94</v>
      </c>
      <c r="D68" s="4" t="n">
        <v>-0.5423</v>
      </c>
      <c r="E68" s="2" t="s">
        <v>16</v>
      </c>
      <c r="F68" s="2" t="s">
        <v>16</v>
      </c>
      <c r="G68" s="2" t="str">
        <f aca="false">IF(E68=F68,"Match","Mismatch")</f>
        <v>Match</v>
      </c>
      <c r="H68" s="3"/>
    </row>
    <row r="69" customFormat="false" ht="15" hidden="false" customHeight="false" outlineLevel="0" collapsed="false">
      <c r="A69" s="2" t="n">
        <v>68</v>
      </c>
      <c r="B69" s="2" t="n">
        <v>2267</v>
      </c>
      <c r="C69" s="3" t="s">
        <v>95</v>
      </c>
      <c r="D69" s="4" t="n">
        <v>-0.5423</v>
      </c>
      <c r="E69" s="2" t="s">
        <v>16</v>
      </c>
      <c r="F69" s="2" t="s">
        <v>16</v>
      </c>
      <c r="G69" s="2" t="str">
        <f aca="false">IF(E69=F69,"Match","Mismatch")</f>
        <v>Match</v>
      </c>
      <c r="H69" s="3"/>
    </row>
    <row r="70" customFormat="false" ht="15" hidden="false" customHeight="false" outlineLevel="0" collapsed="false">
      <c r="A70" s="2" t="n">
        <v>69</v>
      </c>
      <c r="B70" s="2" t="n">
        <v>2268</v>
      </c>
      <c r="C70" s="3" t="s">
        <v>96</v>
      </c>
      <c r="D70" s="4" t="n">
        <v>-0.6705</v>
      </c>
      <c r="E70" s="2" t="s">
        <v>16</v>
      </c>
      <c r="F70" s="2" t="s">
        <v>16</v>
      </c>
      <c r="G70" s="2" t="str">
        <f aca="false">IF(E70=F70,"Match","Mismatch")</f>
        <v>Match</v>
      </c>
      <c r="H70" s="3"/>
    </row>
    <row r="71" customFormat="false" ht="15" hidden="false" customHeight="false" outlineLevel="0" collapsed="false">
      <c r="A71" s="2" t="n">
        <v>70</v>
      </c>
      <c r="B71" s="2" t="n">
        <v>2269</v>
      </c>
      <c r="C71" s="3" t="s">
        <v>97</v>
      </c>
      <c r="D71" s="4" t="n">
        <v>-0.5423</v>
      </c>
      <c r="E71" s="2" t="s">
        <v>16</v>
      </c>
      <c r="F71" s="2" t="s">
        <v>16</v>
      </c>
      <c r="G71" s="2" t="str">
        <f aca="false">IF(E71=F71,"Match","Mismatch")</f>
        <v>Match</v>
      </c>
      <c r="H71" s="3"/>
    </row>
    <row r="72" customFormat="false" ht="15" hidden="false" customHeight="false" outlineLevel="0" collapsed="false">
      <c r="A72" s="2" t="n">
        <v>71</v>
      </c>
      <c r="B72" s="2" t="n">
        <v>2270</v>
      </c>
      <c r="C72" s="3" t="s">
        <v>98</v>
      </c>
      <c r="D72" s="4" t="n">
        <v>-0.7906</v>
      </c>
      <c r="E72" s="2" t="s">
        <v>16</v>
      </c>
      <c r="F72" s="2" t="s">
        <v>16</v>
      </c>
      <c r="G72" s="2" t="str">
        <f aca="false">IF(E72=F72,"Match","Mismatch")</f>
        <v>Match</v>
      </c>
      <c r="H72" s="3"/>
    </row>
    <row r="73" customFormat="false" ht="23.85" hidden="false" customHeight="false" outlineLevel="0" collapsed="false">
      <c r="A73" s="2" t="n">
        <v>72</v>
      </c>
      <c r="B73" s="2" t="n">
        <v>2271</v>
      </c>
      <c r="C73" s="3" t="s">
        <v>99</v>
      </c>
      <c r="D73" s="4" t="n">
        <v>0.5423</v>
      </c>
      <c r="E73" s="2" t="s">
        <v>9</v>
      </c>
      <c r="F73" s="2" t="s">
        <v>19</v>
      </c>
      <c r="G73" s="2" t="str">
        <f aca="false">IF(E73=F73,"Match","Mismatch")</f>
        <v>Mismatch</v>
      </c>
      <c r="H73" s="3" t="s">
        <v>100</v>
      </c>
    </row>
    <row r="74" customFormat="false" ht="23.85" hidden="false" customHeight="false" outlineLevel="0" collapsed="false">
      <c r="A74" s="2" t="n">
        <v>73</v>
      </c>
      <c r="B74" s="2" t="n">
        <v>2272</v>
      </c>
      <c r="C74" s="3" t="s">
        <v>101</v>
      </c>
      <c r="D74" s="4" t="n">
        <v>-0.5574</v>
      </c>
      <c r="E74" s="2" t="s">
        <v>16</v>
      </c>
      <c r="F74" s="2" t="s">
        <v>16</v>
      </c>
      <c r="G74" s="2" t="str">
        <f aca="false">IF(E74=F74,"Match","Mismatch")</f>
        <v>Match</v>
      </c>
      <c r="H74" s="3"/>
    </row>
    <row r="75" customFormat="false" ht="23.85" hidden="false" customHeight="false" outlineLevel="0" collapsed="false">
      <c r="A75" s="2" t="n">
        <v>74</v>
      </c>
      <c r="B75" s="2" t="n">
        <v>2273</v>
      </c>
      <c r="C75" s="3" t="s">
        <v>102</v>
      </c>
      <c r="D75" s="4" t="n">
        <v>-0.4588</v>
      </c>
      <c r="E75" s="2" t="s">
        <v>16</v>
      </c>
      <c r="F75" s="2" t="s">
        <v>16</v>
      </c>
      <c r="G75" s="2" t="str">
        <f aca="false">IF(E75=F75,"Match","Mismatch")</f>
        <v>Match</v>
      </c>
      <c r="H75" s="3" t="s">
        <v>103</v>
      </c>
    </row>
    <row r="76" customFormat="false" ht="15" hidden="false" customHeight="false" outlineLevel="0" collapsed="false">
      <c r="A76" s="2" t="n">
        <v>75</v>
      </c>
      <c r="B76" s="2" t="n">
        <v>2274</v>
      </c>
      <c r="C76" s="3" t="s">
        <v>104</v>
      </c>
      <c r="D76" s="4" t="n">
        <v>0.25</v>
      </c>
      <c r="E76" s="2" t="s">
        <v>9</v>
      </c>
      <c r="F76" s="2" t="s">
        <v>16</v>
      </c>
      <c r="G76" s="2" t="str">
        <f aca="false">IF(E76=F76,"Match","Mismatch")</f>
        <v>Mismatch</v>
      </c>
      <c r="H76" s="3" t="s">
        <v>105</v>
      </c>
    </row>
    <row r="77" customFormat="false" ht="15" hidden="false" customHeight="false" outlineLevel="0" collapsed="false">
      <c r="A77" s="2" t="n">
        <v>76</v>
      </c>
      <c r="B77" s="2" t="n">
        <v>2275</v>
      </c>
      <c r="C77" s="3" t="s">
        <v>106</v>
      </c>
      <c r="D77" s="4" t="n">
        <v>-0.5106</v>
      </c>
      <c r="E77" s="2" t="s">
        <v>16</v>
      </c>
      <c r="F77" s="2" t="s">
        <v>16</v>
      </c>
      <c r="G77" s="2" t="str">
        <f aca="false">IF(E77=F77,"Match","Mismatch")</f>
        <v>Match</v>
      </c>
      <c r="H77" s="3"/>
    </row>
    <row r="78" customFormat="false" ht="15" hidden="false" customHeight="false" outlineLevel="0" collapsed="false">
      <c r="A78" s="2" t="n">
        <v>77</v>
      </c>
      <c r="B78" s="2" t="n">
        <v>2276</v>
      </c>
      <c r="C78" s="3" t="s">
        <v>107</v>
      </c>
      <c r="D78" s="4" t="n">
        <v>0.5859</v>
      </c>
      <c r="E78" s="2" t="s">
        <v>9</v>
      </c>
      <c r="F78" s="2" t="s">
        <v>19</v>
      </c>
      <c r="G78" s="2" t="str">
        <f aca="false">IF(E78=F78,"Match","Mismatch")</f>
        <v>Mismatch</v>
      </c>
      <c r="H78" s="3" t="s">
        <v>108</v>
      </c>
    </row>
    <row r="79" customFormat="false" ht="23.85" hidden="false" customHeight="false" outlineLevel="0" collapsed="false">
      <c r="A79" s="2" t="n">
        <v>78</v>
      </c>
      <c r="B79" s="2" t="n">
        <v>2277</v>
      </c>
      <c r="C79" s="3" t="s">
        <v>109</v>
      </c>
      <c r="D79" s="4" t="n">
        <v>-0.5624</v>
      </c>
      <c r="E79" s="2" t="s">
        <v>16</v>
      </c>
      <c r="F79" s="2" t="s">
        <v>16</v>
      </c>
      <c r="G79" s="2" t="str">
        <f aca="false">IF(E79=F79,"Match","Mismatch")</f>
        <v>Match</v>
      </c>
      <c r="H79" s="3" t="s">
        <v>110</v>
      </c>
    </row>
    <row r="80" customFormat="false" ht="15" hidden="false" customHeight="false" outlineLevel="0" collapsed="false">
      <c r="A80" s="2" t="n">
        <v>79</v>
      </c>
      <c r="B80" s="2" t="n">
        <v>2278</v>
      </c>
      <c r="C80" s="3" t="s">
        <v>111</v>
      </c>
      <c r="D80" s="4" t="n">
        <v>-0.743</v>
      </c>
      <c r="E80" s="2" t="s">
        <v>16</v>
      </c>
      <c r="F80" s="2" t="s">
        <v>16</v>
      </c>
      <c r="G80" s="2" t="str">
        <f aca="false">IF(E80=F80,"Match","Mismatch")</f>
        <v>Match</v>
      </c>
      <c r="H80" s="3"/>
    </row>
    <row r="81" customFormat="false" ht="15" hidden="false" customHeight="false" outlineLevel="0" collapsed="false">
      <c r="A81" s="2" t="n">
        <v>80</v>
      </c>
      <c r="B81" s="2" t="n">
        <v>2279</v>
      </c>
      <c r="C81" s="3" t="s">
        <v>112</v>
      </c>
      <c r="D81" s="4" t="n">
        <v>-0.6486</v>
      </c>
      <c r="E81" s="2" t="s">
        <v>16</v>
      </c>
      <c r="F81" s="2" t="s">
        <v>16</v>
      </c>
      <c r="G81" s="2" t="str">
        <f aca="false">IF(E81=F81,"Match","Mismatch")</f>
        <v>Match</v>
      </c>
      <c r="H81" s="3"/>
    </row>
    <row r="82" customFormat="false" ht="15" hidden="false" customHeight="false" outlineLevel="0" collapsed="false">
      <c r="A82" s="2" t="n">
        <v>81</v>
      </c>
      <c r="B82" s="2" t="n">
        <v>2280</v>
      </c>
      <c r="C82" s="3" t="s">
        <v>113</v>
      </c>
      <c r="D82" s="4" t="n">
        <v>0.5267</v>
      </c>
      <c r="E82" s="2" t="s">
        <v>9</v>
      </c>
      <c r="F82" s="2" t="s">
        <v>9</v>
      </c>
      <c r="G82" s="2" t="str">
        <f aca="false">IF(E82=F82,"Match","Mismatch")</f>
        <v>Match</v>
      </c>
      <c r="H82" s="3"/>
    </row>
    <row r="83" customFormat="false" ht="15" hidden="false" customHeight="false" outlineLevel="0" collapsed="false">
      <c r="A83" s="2" t="n">
        <v>82</v>
      </c>
      <c r="B83" s="2" t="n">
        <v>2281</v>
      </c>
      <c r="C83" s="3" t="s">
        <v>114</v>
      </c>
      <c r="D83" s="4" t="n">
        <v>0.6239</v>
      </c>
      <c r="E83" s="2" t="s">
        <v>9</v>
      </c>
      <c r="F83" s="2" t="s">
        <v>19</v>
      </c>
      <c r="G83" s="2" t="str">
        <f aca="false">IF(E83=F83,"Match","Mismatch")</f>
        <v>Mismatch</v>
      </c>
      <c r="H83" s="3" t="s">
        <v>115</v>
      </c>
    </row>
    <row r="84" customFormat="false" ht="15" hidden="false" customHeight="false" outlineLevel="0" collapsed="false">
      <c r="A84" s="2" t="n">
        <v>83</v>
      </c>
      <c r="B84" s="2" t="n">
        <v>2282</v>
      </c>
      <c r="C84" s="3" t="s">
        <v>116</v>
      </c>
      <c r="D84" s="4" t="n">
        <v>-0.5423</v>
      </c>
      <c r="E84" s="2" t="s">
        <v>16</v>
      </c>
      <c r="F84" s="2" t="s">
        <v>16</v>
      </c>
      <c r="G84" s="2" t="str">
        <f aca="false">IF(E84=F84,"Match","Mismatch")</f>
        <v>Match</v>
      </c>
      <c r="H84" s="3"/>
    </row>
    <row r="85" customFormat="false" ht="15" hidden="false" customHeight="false" outlineLevel="0" collapsed="false">
      <c r="A85" s="2" t="n">
        <v>84</v>
      </c>
      <c r="B85" s="2" t="n">
        <v>2283</v>
      </c>
      <c r="C85" s="3" t="s">
        <v>117</v>
      </c>
      <c r="D85" s="4" t="n">
        <v>-0.5106</v>
      </c>
      <c r="E85" s="2" t="s">
        <v>16</v>
      </c>
      <c r="F85" s="2" t="s">
        <v>16</v>
      </c>
      <c r="G85" s="2" t="str">
        <f aca="false">IF(E85=F85,"Match","Mismatch")</f>
        <v>Match</v>
      </c>
      <c r="H85" s="3"/>
    </row>
    <row r="86" customFormat="false" ht="23.85" hidden="false" customHeight="false" outlineLevel="0" collapsed="false">
      <c r="A86" s="2" t="n">
        <v>85</v>
      </c>
      <c r="B86" s="2" t="n">
        <v>2284</v>
      </c>
      <c r="C86" s="3" t="s">
        <v>118</v>
      </c>
      <c r="D86" s="4" t="n">
        <v>-0.8398</v>
      </c>
      <c r="E86" s="2" t="s">
        <v>16</v>
      </c>
      <c r="F86" s="2" t="s">
        <v>16</v>
      </c>
      <c r="G86" s="2" t="str">
        <f aca="false">IF(E86=F86,"Match","Mismatch")</f>
        <v>Match</v>
      </c>
      <c r="H86" s="3"/>
    </row>
    <row r="87" customFormat="false" ht="15" hidden="false" customHeight="false" outlineLevel="0" collapsed="false">
      <c r="A87" s="2" t="n">
        <v>86</v>
      </c>
      <c r="B87" s="2" t="n">
        <v>2285</v>
      </c>
      <c r="C87" s="3" t="s">
        <v>119</v>
      </c>
      <c r="D87" s="4" t="n">
        <v>-0.5423</v>
      </c>
      <c r="E87" s="2" t="s">
        <v>16</v>
      </c>
      <c r="F87" s="2" t="s">
        <v>16</v>
      </c>
      <c r="G87" s="2" t="str">
        <f aca="false">IF(E87=F87,"Match","Mismatch")</f>
        <v>Match</v>
      </c>
      <c r="H87" s="3"/>
    </row>
    <row r="88" customFormat="false" ht="15" hidden="false" customHeight="false" outlineLevel="0" collapsed="false">
      <c r="A88" s="2" t="n">
        <v>87</v>
      </c>
      <c r="B88" s="2" t="n">
        <v>2286</v>
      </c>
      <c r="C88" s="3" t="s">
        <v>120</v>
      </c>
      <c r="D88" s="4" t="n">
        <v>-0.8271</v>
      </c>
      <c r="E88" s="2" t="s">
        <v>16</v>
      </c>
      <c r="F88" s="2" t="s">
        <v>16</v>
      </c>
      <c r="G88" s="2" t="str">
        <f aca="false">IF(E88=F88,"Match","Mismatch")</f>
        <v>Match</v>
      </c>
      <c r="H88" s="3"/>
    </row>
    <row r="89" customFormat="false" ht="15" hidden="false" customHeight="false" outlineLevel="0" collapsed="false">
      <c r="A89" s="2" t="n">
        <v>88</v>
      </c>
      <c r="B89" s="2" t="n">
        <v>2287</v>
      </c>
      <c r="C89" s="3" t="s">
        <v>121</v>
      </c>
      <c r="D89" s="4" t="n">
        <v>-0.802</v>
      </c>
      <c r="E89" s="2" t="s">
        <v>16</v>
      </c>
      <c r="F89" s="2" t="s">
        <v>16</v>
      </c>
      <c r="G89" s="2" t="str">
        <f aca="false">IF(E89=F89,"Match","Mismatch")</f>
        <v>Match</v>
      </c>
      <c r="H89" s="3"/>
    </row>
    <row r="90" customFormat="false" ht="15" hidden="false" customHeight="false" outlineLevel="0" collapsed="false">
      <c r="A90" s="2" t="n">
        <v>89</v>
      </c>
      <c r="B90" s="2" t="n">
        <v>2288</v>
      </c>
      <c r="C90" s="3" t="s">
        <v>122</v>
      </c>
      <c r="D90" s="4" t="n">
        <v>-0.5423</v>
      </c>
      <c r="E90" s="2" t="s">
        <v>16</v>
      </c>
      <c r="F90" s="2" t="s">
        <v>16</v>
      </c>
      <c r="G90" s="2" t="str">
        <f aca="false">IF(E90=F90,"Match","Mismatch")</f>
        <v>Match</v>
      </c>
      <c r="H90" s="3"/>
    </row>
    <row r="91" customFormat="false" ht="15" hidden="false" customHeight="false" outlineLevel="0" collapsed="false">
      <c r="A91" s="2" t="n">
        <v>90</v>
      </c>
      <c r="B91" s="2" t="n">
        <v>2289</v>
      </c>
      <c r="C91" s="3" t="s">
        <v>123</v>
      </c>
      <c r="D91" s="4" t="n">
        <v>0</v>
      </c>
      <c r="E91" s="2" t="s">
        <v>19</v>
      </c>
      <c r="F91" s="2" t="s">
        <v>16</v>
      </c>
      <c r="G91" s="2" t="str">
        <f aca="false">IF(E91=F91,"Match","Mismatch")</f>
        <v>Mismatch</v>
      </c>
      <c r="H91" s="3" t="s">
        <v>124</v>
      </c>
    </row>
    <row r="92" customFormat="false" ht="15" hidden="false" customHeight="false" outlineLevel="0" collapsed="false">
      <c r="A92" s="2" t="n">
        <v>91</v>
      </c>
      <c r="B92" s="2" t="n">
        <v>2290</v>
      </c>
      <c r="C92" s="3" t="s">
        <v>125</v>
      </c>
      <c r="D92" s="4" t="n">
        <v>-0.802</v>
      </c>
      <c r="E92" s="2" t="s">
        <v>16</v>
      </c>
      <c r="F92" s="2" t="s">
        <v>16</v>
      </c>
      <c r="G92" s="2" t="str">
        <f aca="false">IF(E92=F92,"Match","Mismatch")</f>
        <v>Match</v>
      </c>
      <c r="H92" s="3" t="s">
        <v>126</v>
      </c>
    </row>
    <row r="93" customFormat="false" ht="15" hidden="false" customHeight="false" outlineLevel="0" collapsed="false">
      <c r="A93" s="2" t="n">
        <v>92</v>
      </c>
      <c r="B93" s="2" t="n">
        <v>2291</v>
      </c>
      <c r="C93" s="3" t="s">
        <v>127</v>
      </c>
      <c r="D93" s="4" t="n">
        <v>-0.1511</v>
      </c>
      <c r="E93" s="2" t="s">
        <v>16</v>
      </c>
      <c r="F93" s="2" t="s">
        <v>16</v>
      </c>
      <c r="G93" s="2" t="str">
        <f aca="false">IF(E93=F93,"Match","Mismatch")</f>
        <v>Match</v>
      </c>
      <c r="H93" s="3" t="s">
        <v>128</v>
      </c>
    </row>
    <row r="94" customFormat="false" ht="15" hidden="false" customHeight="false" outlineLevel="0" collapsed="false">
      <c r="A94" s="2" t="n">
        <v>93</v>
      </c>
      <c r="B94" s="2" t="n">
        <v>2292</v>
      </c>
      <c r="C94" s="3" t="s">
        <v>129</v>
      </c>
      <c r="D94" s="4" t="n">
        <v>-0.5423</v>
      </c>
      <c r="E94" s="2" t="s">
        <v>16</v>
      </c>
      <c r="F94" s="2" t="s">
        <v>16</v>
      </c>
      <c r="G94" s="2" t="str">
        <f aca="false">IF(E94=F94,"Match","Mismatch")</f>
        <v>Match</v>
      </c>
      <c r="H94" s="3" t="s">
        <v>130</v>
      </c>
    </row>
    <row r="95" customFormat="false" ht="15" hidden="false" customHeight="false" outlineLevel="0" collapsed="false">
      <c r="A95" s="2" t="n">
        <v>94</v>
      </c>
      <c r="B95" s="2" t="n">
        <v>2293</v>
      </c>
      <c r="C95" s="3" t="s">
        <v>131</v>
      </c>
      <c r="D95" s="4" t="n">
        <v>-0.5</v>
      </c>
      <c r="E95" s="2" t="s">
        <v>16</v>
      </c>
      <c r="F95" s="2" t="s">
        <v>16</v>
      </c>
      <c r="G95" s="2" t="str">
        <f aca="false">IF(E95=F95,"Match","Mismatch")</f>
        <v>Match</v>
      </c>
      <c r="H95" s="3" t="s">
        <v>130</v>
      </c>
    </row>
    <row r="96" customFormat="false" ht="15" hidden="false" customHeight="false" outlineLevel="0" collapsed="false">
      <c r="A96" s="2" t="n">
        <v>95</v>
      </c>
      <c r="B96" s="2" t="n">
        <v>2294</v>
      </c>
      <c r="C96" s="3" t="s">
        <v>132</v>
      </c>
      <c r="D96" s="4" t="n">
        <v>0</v>
      </c>
      <c r="E96" s="2" t="s">
        <v>19</v>
      </c>
      <c r="F96" s="2" t="s">
        <v>16</v>
      </c>
      <c r="G96" s="2" t="str">
        <f aca="false">IF(E96=F96,"Match","Mismatch")</f>
        <v>Mismatch</v>
      </c>
      <c r="H96" s="3" t="s">
        <v>133</v>
      </c>
    </row>
    <row r="97" customFormat="false" ht="15" hidden="false" customHeight="false" outlineLevel="0" collapsed="false">
      <c r="A97" s="2" t="n">
        <v>96</v>
      </c>
      <c r="B97" s="2" t="n">
        <v>2295</v>
      </c>
      <c r="C97" s="3" t="s">
        <v>134</v>
      </c>
      <c r="D97" s="4" t="n">
        <v>-0.8658</v>
      </c>
      <c r="E97" s="2" t="s">
        <v>16</v>
      </c>
      <c r="F97" s="2" t="s">
        <v>16</v>
      </c>
      <c r="G97" s="2" t="str">
        <f aca="false">IF(E97=F97,"Match","Mismatch")</f>
        <v>Match</v>
      </c>
      <c r="H97" s="3" t="s">
        <v>126</v>
      </c>
    </row>
    <row r="98" customFormat="false" ht="23.85" hidden="false" customHeight="false" outlineLevel="0" collapsed="false">
      <c r="A98" s="2" t="n">
        <v>97</v>
      </c>
      <c r="B98" s="2" t="n">
        <v>2296</v>
      </c>
      <c r="C98" s="3" t="s">
        <v>135</v>
      </c>
      <c r="D98" s="4" t="n">
        <v>0.9832</v>
      </c>
      <c r="E98" s="2" t="s">
        <v>9</v>
      </c>
      <c r="F98" s="2" t="s">
        <v>9</v>
      </c>
      <c r="G98" s="2" t="str">
        <f aca="false">IF(E98=F98,"Match","Mismatch")</f>
        <v>Match</v>
      </c>
      <c r="H98" s="3"/>
    </row>
    <row r="99" customFormat="false" ht="23.85" hidden="false" customHeight="false" outlineLevel="0" collapsed="false">
      <c r="A99" s="2" t="n">
        <v>98</v>
      </c>
      <c r="B99" s="2" t="n">
        <v>2297</v>
      </c>
      <c r="C99" s="3" t="s">
        <v>136</v>
      </c>
      <c r="D99" s="4" t="n">
        <v>-0.1531</v>
      </c>
      <c r="E99" s="2" t="s">
        <v>16</v>
      </c>
      <c r="F99" s="2" t="s">
        <v>9</v>
      </c>
      <c r="G99" s="2" t="str">
        <f aca="false">IF(E99=F99,"Match","Mismatch")</f>
        <v>Mismatch</v>
      </c>
      <c r="H99" s="3" t="s">
        <v>137</v>
      </c>
    </row>
    <row r="100" customFormat="false" ht="23.85" hidden="false" customHeight="false" outlineLevel="0" collapsed="false">
      <c r="A100" s="2" t="n">
        <v>99</v>
      </c>
      <c r="B100" s="2" t="n">
        <v>2298</v>
      </c>
      <c r="C100" s="3" t="s">
        <v>138</v>
      </c>
      <c r="D100" s="4" t="n">
        <v>0.9153</v>
      </c>
      <c r="E100" s="2" t="s">
        <v>9</v>
      </c>
      <c r="F100" s="2" t="s">
        <v>9</v>
      </c>
      <c r="G100" s="2" t="str">
        <f aca="false">IF(E100=F100,"Match","Mismatch")</f>
        <v>Match</v>
      </c>
      <c r="H100" s="3"/>
    </row>
    <row r="101" customFormat="false" ht="15" hidden="false" customHeight="false" outlineLevel="0" collapsed="false">
      <c r="A101" s="2" t="n">
        <v>100</v>
      </c>
      <c r="B101" s="2" t="n">
        <v>2299</v>
      </c>
      <c r="C101" s="3" t="s">
        <v>139</v>
      </c>
      <c r="D101" s="4" t="n">
        <v>0.9357</v>
      </c>
      <c r="E101" s="2" t="s">
        <v>9</v>
      </c>
      <c r="F101" s="2" t="s">
        <v>9</v>
      </c>
      <c r="G101" s="2" t="str">
        <f aca="false">IF(E101=F101,"Match","Mismatch")</f>
        <v>Match</v>
      </c>
      <c r="H101" s="3"/>
    </row>
    <row r="102" customFormat="false" ht="15" hidden="false" customHeight="false" outlineLevel="0" collapsed="false">
      <c r="A102" s="2" t="n">
        <v>101</v>
      </c>
      <c r="B102" s="2" t="n">
        <v>2300</v>
      </c>
      <c r="C102" s="3" t="s">
        <v>140</v>
      </c>
      <c r="D102" s="4" t="n">
        <v>0.8225</v>
      </c>
      <c r="E102" s="2" t="s">
        <v>9</v>
      </c>
      <c r="F102" s="2" t="s">
        <v>9</v>
      </c>
      <c r="G102" s="2" t="str">
        <f aca="false">IF(E102=F102,"Match","Mismatch")</f>
        <v>Match</v>
      </c>
      <c r="H102" s="3"/>
    </row>
    <row r="103" customFormat="false" ht="15" hidden="false" customHeight="false" outlineLevel="0" collapsed="false">
      <c r="A103" s="2" t="n">
        <v>102</v>
      </c>
      <c r="B103" s="2" t="n">
        <v>2301</v>
      </c>
      <c r="C103" s="3" t="s">
        <v>141</v>
      </c>
      <c r="D103" s="4" t="n">
        <v>0.9477</v>
      </c>
      <c r="E103" s="2" t="s">
        <v>9</v>
      </c>
      <c r="F103" s="2" t="s">
        <v>9</v>
      </c>
      <c r="G103" s="2" t="str">
        <f aca="false">IF(E103=F103,"Match","Mismatch")</f>
        <v>Match</v>
      </c>
      <c r="H103" s="3"/>
    </row>
    <row r="104" customFormat="false" ht="23.85" hidden="false" customHeight="false" outlineLevel="0" collapsed="false">
      <c r="A104" s="2" t="n">
        <v>103</v>
      </c>
      <c r="B104" s="2" t="n">
        <v>2302</v>
      </c>
      <c r="C104" s="3" t="s">
        <v>142</v>
      </c>
      <c r="D104" s="4" t="n">
        <v>0.9712</v>
      </c>
      <c r="E104" s="2" t="s">
        <v>9</v>
      </c>
      <c r="F104" s="2" t="s">
        <v>9</v>
      </c>
      <c r="G104" s="2" t="str">
        <f aca="false">IF(E104=F104,"Match","Mismatch")</f>
        <v>Match</v>
      </c>
      <c r="H104" s="3"/>
    </row>
    <row r="105" customFormat="false" ht="23.85" hidden="false" customHeight="false" outlineLevel="0" collapsed="false">
      <c r="A105" s="2" t="n">
        <v>104</v>
      </c>
      <c r="B105" s="2" t="n">
        <v>2303</v>
      </c>
      <c r="C105" s="3" t="s">
        <v>143</v>
      </c>
      <c r="D105" s="4" t="n">
        <v>0.5574</v>
      </c>
      <c r="E105" s="2" t="s">
        <v>9</v>
      </c>
      <c r="F105" s="2" t="s">
        <v>9</v>
      </c>
      <c r="G105" s="2" t="str">
        <f aca="false">IF(E105=F105,"Match","Mismatch")</f>
        <v>Match</v>
      </c>
      <c r="H105" s="3"/>
    </row>
    <row r="106" customFormat="false" ht="23.85" hidden="false" customHeight="false" outlineLevel="0" collapsed="false">
      <c r="A106" s="2" t="n">
        <v>105</v>
      </c>
      <c r="B106" s="2" t="n">
        <v>2304</v>
      </c>
      <c r="C106" s="3" t="s">
        <v>144</v>
      </c>
      <c r="D106" s="4" t="n">
        <v>0.9314</v>
      </c>
      <c r="E106" s="2" t="s">
        <v>9</v>
      </c>
      <c r="F106" s="2" t="s">
        <v>9</v>
      </c>
      <c r="G106" s="2" t="str">
        <f aca="false">IF(E106=F106,"Match","Mismatch")</f>
        <v>Match</v>
      </c>
      <c r="H106" s="3"/>
    </row>
    <row r="107" customFormat="false" ht="23.85" hidden="false" customHeight="false" outlineLevel="0" collapsed="false">
      <c r="A107" s="2" t="n">
        <v>106</v>
      </c>
      <c r="B107" s="2" t="n">
        <v>2305</v>
      </c>
      <c r="C107" s="3" t="s">
        <v>145</v>
      </c>
      <c r="D107" s="4" t="n">
        <v>0.9342</v>
      </c>
      <c r="E107" s="2" t="s">
        <v>9</v>
      </c>
      <c r="F107" s="2" t="s">
        <v>9</v>
      </c>
      <c r="G107" s="2" t="str">
        <f aca="false">IF(E107=F107,"Match","Mismatch")</f>
        <v>Match</v>
      </c>
      <c r="H107" s="3"/>
    </row>
    <row r="108" customFormat="false" ht="23.85" hidden="false" customHeight="false" outlineLevel="0" collapsed="false">
      <c r="A108" s="2" t="n">
        <v>107</v>
      </c>
      <c r="B108" s="2" t="n">
        <v>2306</v>
      </c>
      <c r="C108" s="3" t="s">
        <v>146</v>
      </c>
      <c r="D108" s="4" t="n">
        <v>0.9814</v>
      </c>
      <c r="E108" s="2" t="s">
        <v>9</v>
      </c>
      <c r="F108" s="2" t="s">
        <v>9</v>
      </c>
      <c r="G108" s="2" t="str">
        <f aca="false">IF(E108=F108,"Match","Mismatch")</f>
        <v>Match</v>
      </c>
      <c r="H108" s="3"/>
    </row>
    <row r="109" customFormat="false" ht="23.85" hidden="false" customHeight="false" outlineLevel="0" collapsed="false">
      <c r="A109" s="2" t="n">
        <v>108</v>
      </c>
      <c r="B109" s="2" t="n">
        <v>2307</v>
      </c>
      <c r="C109" s="3" t="s">
        <v>147</v>
      </c>
      <c r="D109" s="4" t="n">
        <v>0.8625</v>
      </c>
      <c r="E109" s="2" t="s">
        <v>9</v>
      </c>
      <c r="F109" s="2" t="s">
        <v>9</v>
      </c>
      <c r="G109" s="2" t="str">
        <f aca="false">IF(E109=F109,"Match","Mismatch")</f>
        <v>Match</v>
      </c>
      <c r="H109" s="3"/>
    </row>
    <row r="110" customFormat="false" ht="15" hidden="false" customHeight="false" outlineLevel="0" collapsed="false">
      <c r="A110" s="2" t="n">
        <v>109</v>
      </c>
      <c r="B110" s="2" t="n">
        <v>2308</v>
      </c>
      <c r="C110" s="3" t="s">
        <v>148</v>
      </c>
      <c r="D110" s="4" t="n">
        <v>0.9468</v>
      </c>
      <c r="E110" s="2" t="s">
        <v>9</v>
      </c>
      <c r="F110" s="2" t="s">
        <v>9</v>
      </c>
      <c r="G110" s="2" t="str">
        <f aca="false">IF(E110=F110,"Match","Mismatch")</f>
        <v>Match</v>
      </c>
      <c r="H110" s="3"/>
    </row>
    <row r="111" customFormat="false" ht="15" hidden="false" customHeight="false" outlineLevel="0" collapsed="false">
      <c r="A111" s="2" t="n">
        <v>110</v>
      </c>
      <c r="B111" s="2" t="n">
        <v>2309</v>
      </c>
      <c r="C111" s="3" t="s">
        <v>149</v>
      </c>
      <c r="D111" s="4" t="n">
        <v>0.8316</v>
      </c>
      <c r="E111" s="2" t="s">
        <v>9</v>
      </c>
      <c r="F111" s="2" t="s">
        <v>9</v>
      </c>
      <c r="G111" s="2" t="str">
        <f aca="false">IF(E111=F111,"Match","Mismatch")</f>
        <v>Match</v>
      </c>
      <c r="H111" s="3"/>
    </row>
    <row r="112" customFormat="false" ht="23.85" hidden="false" customHeight="false" outlineLevel="0" collapsed="false">
      <c r="A112" s="2" t="n">
        <v>111</v>
      </c>
      <c r="B112" s="2" t="n">
        <v>2310</v>
      </c>
      <c r="C112" s="3" t="s">
        <v>150</v>
      </c>
      <c r="D112" s="4" t="n">
        <v>0.5423</v>
      </c>
      <c r="E112" s="2" t="s">
        <v>9</v>
      </c>
      <c r="F112" s="2" t="s">
        <v>9</v>
      </c>
      <c r="G112" s="2" t="str">
        <f aca="false">IF(E112=F112,"Match","Mismatch")</f>
        <v>Match</v>
      </c>
      <c r="H112" s="3"/>
    </row>
    <row r="113" customFormat="false" ht="15" hidden="false" customHeight="false" outlineLevel="0" collapsed="false">
      <c r="A113" s="2" t="n">
        <v>112</v>
      </c>
      <c r="B113" s="2" t="n">
        <v>2311</v>
      </c>
      <c r="C113" s="3" t="s">
        <v>151</v>
      </c>
      <c r="D113" s="4" t="n">
        <v>0.9589</v>
      </c>
      <c r="E113" s="2" t="s">
        <v>9</v>
      </c>
      <c r="F113" s="2" t="s">
        <v>9</v>
      </c>
      <c r="G113" s="2" t="str">
        <f aca="false">IF(E113=F113,"Match","Mismatch")</f>
        <v>Match</v>
      </c>
      <c r="H113" s="3"/>
    </row>
    <row r="114" customFormat="false" ht="15" hidden="false" customHeight="false" outlineLevel="0" collapsed="false">
      <c r="A114" s="2" t="n">
        <v>113</v>
      </c>
      <c r="B114" s="2" t="n">
        <v>2312</v>
      </c>
      <c r="C114" s="3" t="s">
        <v>152</v>
      </c>
      <c r="D114" s="4" t="n">
        <v>0.9595</v>
      </c>
      <c r="E114" s="2" t="s">
        <v>9</v>
      </c>
      <c r="F114" s="2" t="s">
        <v>9</v>
      </c>
      <c r="G114" s="2" t="str">
        <f aca="false">IF(E114=F114,"Match","Mismatch")</f>
        <v>Match</v>
      </c>
      <c r="H114" s="3"/>
    </row>
  </sheetData>
  <autoFilter ref="A1:H114"/>
  <conditionalFormatting sqref="G2:G114">
    <cfRule type="expression" priority="2" aboveAverage="0" equalAverage="0" bottom="0" percent="0" rank="0" text="" dxfId="5">
      <formula>$G2="Mismatch"</formula>
    </cfRule>
    <cfRule type="expression" priority="3" aboveAverage="0" equalAverage="0" bottom="0" percent="0" rank="0" text="" dxfId="6">
      <formula>$G2="Match"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5" t="s">
        <v>153</v>
      </c>
      <c r="B1" s="6"/>
      <c r="C1" s="6"/>
      <c r="D1" s="6"/>
      <c r="E1" s="6"/>
    </row>
    <row r="2" customFormat="false" ht="15" hidden="false" customHeight="false" outlineLevel="0" collapsed="false">
      <c r="A2" s="6"/>
      <c r="B2" s="6"/>
      <c r="C2" s="6"/>
      <c r="D2" s="6"/>
      <c r="E2" s="6"/>
    </row>
    <row r="3" customFormat="false" ht="15" hidden="false" customHeight="false" outlineLevel="0" collapsed="false">
      <c r="A3" s="6" t="s">
        <v>154</v>
      </c>
      <c r="B3" s="6" t="n">
        <f aca="false">COUNTA(Comparison!$A$2:$A$114)</f>
        <v>113</v>
      </c>
      <c r="C3" s="6"/>
      <c r="D3" s="6"/>
      <c r="E3" s="6"/>
    </row>
    <row r="4" customFormat="false" ht="15" hidden="false" customHeight="false" outlineLevel="0" collapsed="false">
      <c r="A4" s="6" t="s">
        <v>155</v>
      </c>
      <c r="B4" s="6" t="n">
        <f aca="false">COUNTIF(Comparison!$G$2:$G$114,"Match")</f>
        <v>95</v>
      </c>
      <c r="C4" s="6"/>
      <c r="D4" s="6"/>
      <c r="E4" s="6"/>
    </row>
    <row r="5" customFormat="false" ht="15" hidden="false" customHeight="false" outlineLevel="0" collapsed="false">
      <c r="A5" s="6" t="s">
        <v>156</v>
      </c>
      <c r="B5" s="6" t="n">
        <f aca="false">COUNTIF(Comparison!$G$2:$G$114,"Mismatch")</f>
        <v>18</v>
      </c>
      <c r="C5" s="6"/>
      <c r="D5" s="6"/>
      <c r="E5" s="6"/>
    </row>
    <row r="6" customFormat="false" ht="15" hidden="false" customHeight="false" outlineLevel="0" collapsed="false">
      <c r="A6" s="6" t="s">
        <v>157</v>
      </c>
      <c r="B6" s="7" t="n">
        <f aca="false">B4/B3</f>
        <v>0.84070796460177</v>
      </c>
      <c r="C6" s="6"/>
      <c r="D6" s="6"/>
      <c r="E6" s="6"/>
    </row>
    <row r="7" customFormat="false" ht="15" hidden="false" customHeight="false" outlineLevel="0" collapsed="false">
      <c r="A7" s="6"/>
      <c r="B7" s="6"/>
      <c r="C7" s="6"/>
      <c r="D7" s="6"/>
      <c r="E7" s="6"/>
    </row>
    <row r="8" customFormat="false" ht="15" hidden="false" customHeight="false" outlineLevel="0" collapsed="false">
      <c r="A8" s="8" t="s">
        <v>158</v>
      </c>
      <c r="B8" s="6"/>
      <c r="C8" s="6"/>
      <c r="D8" s="6"/>
      <c r="E8" s="6"/>
    </row>
    <row r="9" customFormat="false" ht="15" hidden="false" customHeight="false" outlineLevel="0" collapsed="false">
      <c r="A9" s="9" t="s">
        <v>159</v>
      </c>
      <c r="B9" s="9" t="s">
        <v>9</v>
      </c>
      <c r="C9" s="9" t="s">
        <v>19</v>
      </c>
      <c r="D9" s="9" t="s">
        <v>16</v>
      </c>
      <c r="E9" s="9" t="s">
        <v>160</v>
      </c>
    </row>
    <row r="10" customFormat="false" ht="15" hidden="false" customHeight="false" outlineLevel="0" collapsed="false">
      <c r="A10" s="6" t="s">
        <v>9</v>
      </c>
      <c r="B10" s="6" t="n">
        <f aca="false">COUNTIFS(Comparison!$F$2:$F$114,$A10,Comparison!$E$2:$E$114,B$9)</f>
        <v>44</v>
      </c>
      <c r="C10" s="6" t="n">
        <f aca="false">COUNTIFS(Comparison!$F$2:$F$114,$A10,Comparison!$E$2:$E$114,C$9)</f>
        <v>0</v>
      </c>
      <c r="D10" s="6" t="n">
        <f aca="false">COUNTIFS(Comparison!$F$2:$F$114,$A10,Comparison!$E$2:$E$114,D$9)</f>
        <v>1</v>
      </c>
      <c r="E10" s="6" t="n">
        <f aca="false">SUM(B10:D10)</f>
        <v>45</v>
      </c>
    </row>
    <row r="11" customFormat="false" ht="15" hidden="false" customHeight="false" outlineLevel="0" collapsed="false">
      <c r="A11" s="6" t="s">
        <v>19</v>
      </c>
      <c r="B11" s="6" t="n">
        <f aca="false">COUNTIFS(Comparison!$F$2:$F$114,$A11,Comparison!$E$2:$E$114,B$9)</f>
        <v>4</v>
      </c>
      <c r="C11" s="6" t="n">
        <f aca="false">COUNTIFS(Comparison!$F$2:$F$114,$A11,Comparison!$E$2:$E$114,C$9)</f>
        <v>0</v>
      </c>
      <c r="D11" s="6" t="n">
        <f aca="false">COUNTIFS(Comparison!$F$2:$F$114,$A11,Comparison!$E$2:$E$114,D$9)</f>
        <v>0</v>
      </c>
      <c r="E11" s="6" t="n">
        <f aca="false">SUM(B11:D11)</f>
        <v>4</v>
      </c>
    </row>
    <row r="12" customFormat="false" ht="15" hidden="false" customHeight="false" outlineLevel="0" collapsed="false">
      <c r="A12" s="6" t="s">
        <v>16</v>
      </c>
      <c r="B12" s="6" t="n">
        <f aca="false">COUNTIFS(Comparison!$F$2:$F$114,$A12,Comparison!$E$2:$E$114,B$9)</f>
        <v>4</v>
      </c>
      <c r="C12" s="6" t="n">
        <f aca="false">COUNTIFS(Comparison!$F$2:$F$114,$A12,Comparison!$E$2:$E$114,C$9)</f>
        <v>9</v>
      </c>
      <c r="D12" s="6" t="n">
        <f aca="false">COUNTIFS(Comparison!$F$2:$F$114,$A12,Comparison!$E$2:$E$114,D$9)</f>
        <v>51</v>
      </c>
      <c r="E12" s="6" t="n">
        <f aca="false">SUM(B12:D12)</f>
        <v>64</v>
      </c>
    </row>
    <row r="13" customFormat="false" ht="15" hidden="false" customHeight="false" outlineLevel="0" collapsed="false">
      <c r="A13" s="6" t="s">
        <v>160</v>
      </c>
      <c r="B13" s="6" t="n">
        <f aca="false">SUM(B10:B12)</f>
        <v>52</v>
      </c>
      <c r="C13" s="6" t="n">
        <f aca="false">SUM(C10:C12)</f>
        <v>9</v>
      </c>
      <c r="D13" s="6" t="n">
        <f aca="false">SUM(D10:D12)</f>
        <v>52</v>
      </c>
      <c r="E13" s="6" t="n">
        <f aca="false">SUM(E10:E12)</f>
        <v>113</v>
      </c>
    </row>
    <row r="14" customFormat="false" ht="15" hidden="false" customHeight="false" outlineLevel="0" collapsed="false">
      <c r="A14" s="6"/>
      <c r="B14" s="6"/>
      <c r="C14" s="6"/>
      <c r="D14" s="6"/>
      <c r="E14" s="6"/>
    </row>
    <row r="15" customFormat="false" ht="15" hidden="false" customHeight="false" outlineLevel="0" collapsed="false">
      <c r="A15" s="6" t="s">
        <v>161</v>
      </c>
      <c r="B15" s="6" t="n">
        <f aca="false">COUNTIFS(Comparison!$E$2:$E$114,"Neutral",Comparison!$F$2:$F$114,"Bad")</f>
        <v>9</v>
      </c>
      <c r="C15" s="6"/>
      <c r="D15" s="6"/>
      <c r="E15" s="6"/>
    </row>
    <row r="16" customFormat="false" ht="15" hidden="false" customHeight="false" outlineLevel="0" collapsed="false">
      <c r="A16" s="6" t="s">
        <v>162</v>
      </c>
      <c r="B16" s="6" t="n">
        <f aca="false">COUNTIFS(Comparison!$E$2:$E$114,"Good",Comparison!$F$2:$F$114,"Bad")</f>
        <v>4</v>
      </c>
      <c r="C16" s="6"/>
      <c r="D16" s="6"/>
      <c r="E16" s="6"/>
    </row>
    <row r="17" customFormat="false" ht="15" hidden="false" customHeight="false" outlineLevel="0" collapsed="false">
      <c r="A17" s="6" t="s">
        <v>163</v>
      </c>
      <c r="B17" s="6" t="n">
        <f aca="false">COUNTIFS(Comparison!$E$2:$E$114,"Good",Comparison!$F$2:$F$114,"Neutral")</f>
        <v>4</v>
      </c>
      <c r="C17" s="6"/>
      <c r="D17" s="6"/>
      <c r="E17" s="6"/>
    </row>
    <row r="18" customFormat="false" ht="15" hidden="false" customHeight="false" outlineLevel="0" collapsed="false">
      <c r="A18" s="6" t="s">
        <v>164</v>
      </c>
      <c r="B18" s="6" t="n">
        <f aca="false">COUNTIFS(Comparison!$E$2:$E$114,"Bad",Comparison!$F$2:$F$114,"Good")</f>
        <v>1</v>
      </c>
      <c r="C18" s="6"/>
      <c r="D18" s="6"/>
      <c r="E18" s="6"/>
    </row>
    <row r="19" customFormat="false" ht="15" hidden="false" customHeight="false" outlineLevel="0" collapsed="false">
      <c r="A19" s="6"/>
      <c r="B19" s="6"/>
      <c r="C19" s="6"/>
      <c r="D19" s="6"/>
      <c r="E19" s="6"/>
    </row>
    <row r="20" customFormat="false" ht="15" hidden="false" customHeight="false" outlineLevel="0" collapsed="false">
      <c r="A20" s="6" t="s">
        <v>165</v>
      </c>
      <c r="B20" s="6"/>
      <c r="C20" s="6"/>
      <c r="D20" s="6"/>
      <c r="E2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2026-10-10T03:44:57Z</dcterms:created>
  <dc:creator>openpyxl</dc:creator>
  <dc:description/>
  <dc:language>en-US</dc:language>
  <cp:lastModifiedBy/>
  <dcterms:modified xsi:type="dcterms:W3CDTF">2026-10-10T03:44:57Z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